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freya/Downloads/"/>
    </mc:Choice>
  </mc:AlternateContent>
  <xr:revisionPtr revIDLastSave="0" documentId="13_ncr:1_{ADE42475-24B4-074E-9F8B-4EBD40A2FC2D}" xr6:coauthVersionLast="47" xr6:coauthVersionMax="47" xr10:uidLastSave="{00000000-0000-0000-0000-000000000000}"/>
  <bookViews>
    <workbookView xWindow="0" yWindow="500" windowWidth="33600" windowHeight="20500" xr2:uid="{00000000-000D-0000-FFFF-FFFF00000000}"/>
  </bookViews>
  <sheets>
    <sheet name="Art Exhibition (filtered)" sheetId="3" r:id="rId1"/>
    <sheet name="Art Exhibition (all)" sheetId="1" r:id="rId2"/>
    <sheet name="Sheet0 (2)" sheetId="2" r:id="rId3"/>
  </sheets>
  <definedNames>
    <definedName name="_xlnm._FilterDatabase" localSheetId="1" hidden="1">'Art Exhibition (all)'!$B$1:$R$164</definedName>
    <definedName name="_xlnm._FilterDatabase" localSheetId="2" hidden="1">'Sheet0 (2)'!$A$2:$AM$151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6" i="3" l="1"/>
  <c r="S26" i="3"/>
  <c r="R3" i="1"/>
  <c r="R4" i="1"/>
  <c r="R5" i="1"/>
  <c r="R6" i="1"/>
  <c r="R7" i="1"/>
  <c r="R46" i="1"/>
  <c r="R8" i="1"/>
  <c r="R9" i="1"/>
  <c r="R10" i="1"/>
  <c r="R12" i="1"/>
  <c r="R13" i="1"/>
  <c r="R14" i="1"/>
  <c r="R15" i="1"/>
  <c r="R16" i="1"/>
  <c r="R17" i="1"/>
  <c r="R18" i="1"/>
  <c r="R19" i="1"/>
  <c r="R20" i="1"/>
  <c r="R90" i="1"/>
  <c r="R116" i="1"/>
  <c r="R23" i="1"/>
  <c r="R24" i="1"/>
  <c r="R25" i="1"/>
  <c r="R26" i="1"/>
  <c r="R27" i="1"/>
  <c r="R28" i="1"/>
  <c r="R29" i="1"/>
  <c r="R30" i="1"/>
  <c r="R31" i="1"/>
  <c r="R32" i="1"/>
  <c r="R11" i="1"/>
  <c r="R65" i="1"/>
  <c r="R59" i="1"/>
  <c r="R35" i="1"/>
  <c r="R37" i="1"/>
  <c r="R38" i="1"/>
  <c r="R39" i="1"/>
  <c r="R40" i="1"/>
  <c r="R41" i="1"/>
  <c r="R42" i="1"/>
  <c r="R43" i="1"/>
  <c r="R44" i="1"/>
  <c r="R120" i="1"/>
  <c r="R108" i="1"/>
  <c r="R47" i="1"/>
  <c r="R48" i="1"/>
  <c r="R49" i="1"/>
  <c r="R50" i="1"/>
  <c r="R51" i="1"/>
  <c r="R52" i="1"/>
  <c r="R53" i="1"/>
  <c r="R54" i="1"/>
  <c r="R55" i="1"/>
  <c r="R56" i="1"/>
  <c r="R57" i="1"/>
  <c r="R58" i="1"/>
  <c r="R88" i="1"/>
  <c r="R60" i="1"/>
  <c r="R61" i="1"/>
  <c r="R62" i="1"/>
  <c r="R63" i="1"/>
  <c r="R45" i="1"/>
  <c r="R36" i="1"/>
  <c r="R66" i="1"/>
  <c r="R67" i="1"/>
  <c r="R68" i="1"/>
  <c r="R69" i="1"/>
  <c r="R70" i="1"/>
  <c r="R71" i="1"/>
  <c r="R72" i="1"/>
  <c r="R73" i="1"/>
  <c r="R74" i="1"/>
  <c r="R75" i="1"/>
  <c r="R124" i="1"/>
  <c r="R77" i="1"/>
  <c r="R78" i="1"/>
  <c r="R79" i="1"/>
  <c r="R80" i="1"/>
  <c r="R81" i="1"/>
  <c r="R82" i="1"/>
  <c r="R83" i="1"/>
  <c r="R84" i="1"/>
  <c r="R140" i="1"/>
  <c r="R86" i="1"/>
  <c r="R87" i="1"/>
  <c r="R76" i="1"/>
  <c r="R89" i="1"/>
  <c r="R2" i="1"/>
  <c r="R91" i="1"/>
  <c r="R92" i="1"/>
  <c r="R93" i="1"/>
  <c r="R94" i="1"/>
  <c r="R95" i="1"/>
  <c r="R96" i="1"/>
  <c r="R97" i="1"/>
  <c r="R98" i="1"/>
  <c r="R99" i="1"/>
  <c r="R100" i="1"/>
  <c r="R101" i="1"/>
  <c r="R102" i="1"/>
  <c r="R103" i="1"/>
  <c r="R104" i="1"/>
  <c r="R34" i="1"/>
  <c r="R106" i="1"/>
  <c r="R107" i="1"/>
  <c r="R85" i="1"/>
  <c r="R109" i="1"/>
  <c r="R110" i="1"/>
  <c r="R111" i="1"/>
  <c r="R112" i="1"/>
  <c r="R113" i="1"/>
  <c r="R114" i="1"/>
  <c r="R115" i="1"/>
  <c r="R105" i="1"/>
  <c r="R117" i="1"/>
  <c r="R118" i="1"/>
  <c r="R119" i="1"/>
  <c r="R22" i="1"/>
  <c r="R121" i="1"/>
  <c r="R122" i="1"/>
  <c r="R123" i="1"/>
  <c r="R64" i="1"/>
  <c r="R125" i="1"/>
  <c r="R126" i="1"/>
  <c r="R127" i="1"/>
  <c r="R128" i="1"/>
  <c r="R129" i="1"/>
  <c r="R130" i="1"/>
  <c r="R131" i="1"/>
  <c r="R132" i="1"/>
  <c r="R133" i="1"/>
  <c r="R134" i="1"/>
  <c r="R135" i="1"/>
  <c r="R136" i="1"/>
  <c r="R137" i="1"/>
  <c r="R138" i="1"/>
  <c r="R21" i="1"/>
  <c r="R141" i="1"/>
  <c r="R33" i="1"/>
  <c r="R142" i="1"/>
  <c r="R143" i="1"/>
  <c r="R144" i="1"/>
  <c r="R145" i="1"/>
  <c r="R146" i="1"/>
  <c r="R147" i="1"/>
  <c r="R139" i="1"/>
</calcChain>
</file>

<file path=xl/sharedStrings.xml><?xml version="1.0" encoding="utf-8"?>
<sst xmlns="http://schemas.openxmlformats.org/spreadsheetml/2006/main" count="7596" uniqueCount="1243">
  <si>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</si>
  <si>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</si>
  <si>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</si>
  <si>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</si>
  <si>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</si>
  <si>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</si>
  <si>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</si>
  <si>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</si>
  <si>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</si>
  <si>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</si>
  <si>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</si>
  <si>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</si>
  <si>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</si>
  <si>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</si>
  <si>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</si>
  <si>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</si>
  <si>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</si>
  <si>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Q1</t>
  </si>
  <si>
    <t>Q2</t>
  </si>
  <si>
    <t>Q3</t>
  </si>
  <si>
    <t>Q4</t>
  </si>
  <si>
    <t>Q5</t>
  </si>
  <si>
    <t>Q6</t>
  </si>
  <si>
    <t>Blitz Yes/No</t>
  </si>
  <si>
    <t>Art Yes/No</t>
  </si>
  <si>
    <t>Q43</t>
  </si>
  <si>
    <t>Q44</t>
  </si>
  <si>
    <t>Q8</t>
  </si>
  <si>
    <t>Q9</t>
  </si>
  <si>
    <t>Q10</t>
  </si>
  <si>
    <t>Q26</t>
  </si>
  <si>
    <t>Q25</t>
  </si>
  <si>
    <t>Q27</t>
  </si>
  <si>
    <t>Q12</t>
  </si>
  <si>
    <t>Q13</t>
  </si>
  <si>
    <t>reindex</t>
  </si>
  <si>
    <t>Day</t>
  </si>
  <si>
    <t>Month</t>
  </si>
  <si>
    <t>Year</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</si>
  <si>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</si>
  <si>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</si>
  <si>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</si>
  <si>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</si>
  <si>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</si>
  <si>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</si>
  <si>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</si>
  <si>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</si>
  <si>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</si>
  <si>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</si>
  <si>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</si>
  <si>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</si>
  <si>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</si>
  <si>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</si>
  <si>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First Name</t>
  </si>
  <si>
    <t>Last Name</t>
  </si>
  <si>
    <t>Email Address</t>
  </si>
  <si>
    <t>Pronouns (optional)</t>
  </si>
  <si>
    <t>Job Title</t>
  </si>
  <si>
    <t>Department</t>
  </si>
  <si>
    <t>Would you like to present a Blitz Talk or a Poster during the symposium?
Abstracts that are not accepted as a Blitz Talk presentation will automatically considered for a poster presentation.</t>
  </si>
  <si>
    <t>Would you like to present a Art piece for the Art Exhibit during the symposium? (Submission deadline Friday, August 22nd, 2025)</t>
  </si>
  <si>
    <t>Would you like to present a Poster during the symposium?</t>
  </si>
  <si>
    <t>Abstract Title</t>
  </si>
  <si>
    <t>Authors</t>
  </si>
  <si>
    <t>Copy and paste your abstract here. (~300 words)</t>
  </si>
  <si>
    <t>Please describe the art you'd like to bring and share. We welcome submissions ranging from poetry to paintings or anything in between.</t>
  </si>
  <si>
    <t>What do you need to properly display your artwork? We can provide poster boards to hang up artwork or props on the table to hold up canvas or photos.</t>
  </si>
  <si>
    <t/>
  </si>
  <si>
    <t>True</t>
  </si>
  <si>
    <t>EN</t>
  </si>
  <si>
    <t>Yes - Blitz Talk</t>
  </si>
  <si>
    <t>No</t>
  </si>
  <si>
    <t>15</t>
  </si>
  <si>
    <t>2025</t>
  </si>
  <si>
    <t>Yes</t>
  </si>
  <si>
    <t>Freya</t>
  </si>
  <si>
    <t>Joessel</t>
  </si>
  <si>
    <t>joessel@wisc.edu</t>
  </si>
  <si>
    <t>anonymous</t>
  </si>
  <si>
    <t>19</t>
  </si>
  <si>
    <t>False</t>
  </si>
  <si>
    <t>She/Her</t>
  </si>
  <si>
    <t>Research Associate</t>
  </si>
  <si>
    <t>11</t>
  </si>
  <si>
    <t>06</t>
  </si>
  <si>
    <t>144.92.194.67</t>
  </si>
  <si>
    <t>R_1Pej4dv5ei4cHRd</t>
  </si>
  <si>
    <t>Taehyun</t>
  </si>
  <si>
    <t>Kim</t>
  </si>
  <si>
    <t>taehyun@wisc.edu</t>
  </si>
  <si>
    <t>she/her</t>
  </si>
  <si>
    <t>Postdoctoral Researcher</t>
  </si>
  <si>
    <t>ObGyn - CORE</t>
  </si>
  <si>
    <t>Title: Effects of Medicaid Coverage for Abortion in Illinois</t>
  </si>
  <si>
    <t>Taehyun Kim, Michel Boudreaux</t>
  </si>
  <si>
    <t>Objectives 
Abortion access is increasingly limited in the US, especially for low-income populations that face financial constraints in both purchasing services and traveling to a provider. These constraints have important implications for the health and economic well-being of people at risk of unintended pregnancy. Federal spending on abortion in Medicaid is prohibited by the Hyde Amendment. States can provide Medicaid abortion coverage with state dollars, but only 20 states do so. Existing evidence on the effects of Medicaid abortion coverage is limited. 
Methods
Using quasi-experimental causal inference methods including difference-in-differences and the synthetic control method, we evaluated the 2018 policy’s effect that introduced Medicaid abortion coverage in Illinois on pregnancy and economic outcomes. Data covering 2014-2021 came from the Centers for Disease Control and Prevention and the American Community Survey. 
Results
Results suggest that Medicaid abortion coverage increased the number of abortions in Illinois by a statistically significant 2.33 per 1,000 females ages 15-44 and decreased births by 1.45 per 1,000 females, also statistically significant. Subgroup analyses of birth rates suggest that decreases in birth rates were more pronounced among younger persons, people of color, residents in counties with higher poverty rates, and residents closer to an abortion facility. On economic outcomes, we found that abortion coverage increased personal income by $650 at the median and decreased poverty by 0.6 percentage points. We also found evidence of increased employment by 1.2 percentage points. Results are robust to several sensitivity analyses. 
Conclusions
Our results suggest that Medicaid plays an important role in enabling access to abortion care and promoting reproductive equity. This provides important evidence for states that remain without total bans but do not currently provide Medicaid abortion coverage. Our work also contributes to a literature that conceptualizes Medicaid as an investment in the economic well-being of beneficiaries and increased economic activity.</t>
  </si>
  <si>
    <t xml:space="preserve">a acrylic painting that is inspired by everyday research life </t>
  </si>
  <si>
    <t>an easel? something to put the painting on without damaging the painting</t>
  </si>
  <si>
    <t>16</t>
  </si>
  <si>
    <t>72.33.2.156</t>
  </si>
  <si>
    <t>R_32tOMfOZyUwXqki</t>
  </si>
  <si>
    <t>Brittany</t>
  </si>
  <si>
    <t>Salazar</t>
  </si>
  <si>
    <t>bsalazar2@wisc.edu</t>
  </si>
  <si>
    <t>Integrative Biology</t>
  </si>
  <si>
    <t>10</t>
  </si>
  <si>
    <t>128.104.153.58</t>
  </si>
  <si>
    <t>R_7lf3urB1M7K9t3H</t>
  </si>
  <si>
    <t>Chandrani</t>
  </si>
  <si>
    <t>Kumari</t>
  </si>
  <si>
    <t>ckumari@wisc.edu</t>
  </si>
  <si>
    <t>Wisconsin Institute for Discovery</t>
  </si>
  <si>
    <t>72.33.2.236</t>
  </si>
  <si>
    <t>R_7dj1SLBi6fzUThl</t>
  </si>
  <si>
    <t xml:space="preserve">Matias </t>
  </si>
  <si>
    <t>Fabregat</t>
  </si>
  <si>
    <t>mfabregat@medicine.wisc.edu</t>
  </si>
  <si>
    <t>He/his/him</t>
  </si>
  <si>
    <t>Postdoctoral fellow</t>
  </si>
  <si>
    <t>Medicine</t>
  </si>
  <si>
    <t>99.100.190.124</t>
  </si>
  <si>
    <t>R_7DokDY3YhQ9jHG1</t>
  </si>
  <si>
    <t>George</t>
  </si>
  <si>
    <t>Brooks</t>
  </si>
  <si>
    <t>gbrooks4@wisc.edu</t>
  </si>
  <si>
    <t>he/him</t>
  </si>
  <si>
    <t>Postdoctoral Research Associate</t>
  </si>
  <si>
    <t>Center for Limnology</t>
  </si>
  <si>
    <t>Is climate change really shrinking fish?</t>
  </si>
  <si>
    <t>George Brooks, Paul Frater, Olaf Jensen, Gretchen Hansen, Craig Paukert, Michael Verhoeven, Lyndsie Wszola, Luoliang Xu, Zachary Feiner</t>
  </si>
  <si>
    <t>Ecologists have long been fascinated by links between body size and temperature in nature. The temperature-size rule states that organisms living in warmer temperatures will grow faster and mature earlier but ultimately attain a smaller maximum size at adulthood. Whilst there is unlikely to be a general explanation for the temperature-size rule, the widespread tendency for species to shrink with rising temperatures has generated considerable interest in an era of climate change. Particularly in fisheries management, concerns have arisen that smaller fish will jeopardize future yields and long-term sustainability. Although several studies have documented growth patterns consistent with the temperature-size rule in a controlled lab setting, it remains unclear whether such patterns emerge under natural conditions. Here, we use age and length data of 1.7 million fish from 4,500 lakes across the Midwestern United States to quantify temperature-related variation in growth over an individual’s lifetime. These data comprise the seven most targeted species in Midwestern recreational fisheries: Black Crappie, Bluegill, Largemouth Bass, Northern Pike, Smallmouth Bass, Walleye, and Yellow Perch. Our results show that no species fully conform to the temperature-size rule; whilst patterns of juvenile growth rate and age at maturity typically aligned with the temperature-size rule, these changes seldom translated to reduced maximum size. The phenomenon of shrinking fish is thus not necessarily a universal consequence of climate change in the wild. We do, however, find that temperature is associated with shorter lifespans in most cases, suggesting that rising temperatures increase lifetime mortality rates. A deeper understanding of how temperature shapes growth in natural settings is needed to accurately predict the impacts of global warming on wildlife.</t>
  </si>
  <si>
    <t>30</t>
  </si>
  <si>
    <t>72.33.0.49</t>
  </si>
  <si>
    <t>R_7g6K99ZPBL80iyq</t>
  </si>
  <si>
    <t>Shivangi</t>
  </si>
  <si>
    <t>Mishra</t>
  </si>
  <si>
    <t>smishra47@wisc.edu</t>
  </si>
  <si>
    <t>Department of chemical and biological engineering</t>
  </si>
  <si>
    <t>A novel metabolic engineering strategy to produce poly(3-hydroxyalkanoates)- a biodegradable plastic alternative</t>
  </si>
  <si>
    <t>Shivangi Mishra, Ke Xu, Madeline Kuckuk, William Cordell, Néstor Harnandez-Lozada, Brian Pfleger</t>
  </si>
  <si>
    <t xml:space="preserve">Poly(3-hydroxyalkanoates) (PHAs) are a set of microbially produced carbon storage molecules with applications as biodegradable alternatives to petrochemically derived plastics. The properties of the PHA derived plastics depend on the acyl chain comprising the PHA monomer and ideally should be produced from renewable feedstocks to support a green economy. In this study, we demonstrated the production of poly(3-hydroxyoctanoic acid) (PHO) in Escherichia coli from a renewable and unexpensive glycerol feedstock by engineering fatty acid synthesis and β-oxidation to create a pool of octenoyl-CoAs. In this base strain, E. coli ΔfadRABIJ, an (R)-specific enoyl-CoA hydratases (PhaJ) and a  PHA synthases(PhaC) were expressed to produce PHO. Bioprospecting PhaJ and PhaC homologs from Pseudomonas aeruginosa and FadD homolog from Pseudomonas putida implicated a combination of PhaJ2, PhaC2, and fadD genes yielded the highest PHO content from exogenously fed octanoate. Co-expression of a PHA granule-associate protein (phasin) improved PHO content but decreased cell growth and resulting PHO titer. Finally, when a single copy of a previously described C8-specific thioesterase mutant CpFatB1.2-M4-287 and PhaJ2, PhaC2, and fadD genes were integrated into the chromosome of E. coli ΔfadRABIJ, and the resulting in E. coli strain was capable of accumulating 15% cell dry weight of PHO with a final titer of more than 1 g/L from glycerol.  </t>
  </si>
  <si>
    <t>08</t>
  </si>
  <si>
    <t>07</t>
  </si>
  <si>
    <t>68.44.223.119</t>
  </si>
  <si>
    <t>R_7IvGAfhnlnakWZ3</t>
  </si>
  <si>
    <t>Katerina</t>
  </si>
  <si>
    <t>Gratsea</t>
  </si>
  <si>
    <t>gratsea.katerina@gmail.com</t>
  </si>
  <si>
    <t>Post-Doc Research Associate</t>
  </si>
  <si>
    <t>Physics</t>
  </si>
  <si>
    <t>Quantum Resource Estimations of real-world applications  for future quantum hardware</t>
  </si>
  <si>
    <t>Katerina Gratsea and Matt Otten</t>
  </si>
  <si>
    <t xml:space="preserve">The crucial question of “When will the first useful quantum computations be realized?” is both an open question, but also one of the main drives of quantum computing research and development. However, the research efforts and the related promises of the capabilities of quantum computing technology have summed up a lot of “debt” putting quantum computing as a field and industry at a critical stage.
To reliably answer such a question different research efforts need to be taken into consideration from hardware, software, algorithmic and application perspective and transition to fault-tolerant quantum computing (FTQC) where useful computations can be performed with millions of physical qubits. But, the transition to FTQC represents one of the most complex and resource-intensive challenges in the quantum computing field today. 
Despite growing hardware capabilities, there is currently a lack of quantum resource analysis on accurate modeling of quantum computations in the fault-tolerant regime. Most research efforts tend to operate in silos—focusing on individual layers such as algorithm development, circuit compilation, quantum error correction, or hardware simulation—without offering a unified view of how these layers interact and impact one another. This lack of integration severely limits the ability to co-design quantum systems in a way that is both efficient and scalable.
Our work incorporates state-of-the art innovations in all key aspects of FTQC to show how quantum computers could realistically and practically tackle a problem of significant positive impact in our society. Our work on Quantum Resource Estimations stresses that all layers of computation are crucial for FTQC in the quest of quantum advantage and creates new concepts in the methodology of connecting quantum algorithms to applications. We provide significant breakthroughs in the analysis of quantum algorithm performance that leads to compelling evidence of quantum utility. </t>
  </si>
  <si>
    <t>Poetry</t>
  </si>
  <si>
    <t>I think a prop on a table to hold a A4 page for the poerty should work fine.</t>
  </si>
  <si>
    <t>128.104.141.59</t>
  </si>
  <si>
    <t>R_52yvE618WGTsfdm</t>
  </si>
  <si>
    <t>Stephanie</t>
  </si>
  <si>
    <t>Hong</t>
  </si>
  <si>
    <t>hong249@wisc.edu</t>
  </si>
  <si>
    <t>she/her/hers</t>
  </si>
  <si>
    <t>Postdoctoral Trainee</t>
  </si>
  <si>
    <t>Population Health Sciences</t>
  </si>
  <si>
    <t>Does Universal Pre-K Prevent Child Maltreatment? Evidence from New York City’s Pre-K for All Program</t>
  </si>
  <si>
    <t>Youngjin Stephanie Hong, Jessica Pac, Lawrence Berger</t>
  </si>
  <si>
    <t>Previous evidence suggests that early care and education programs hold promise for preventing child abuse and neglect. Unmitigated maltreatment increases the risk of mental health issues, substance use, criminal behavior, and adverse adult outcomes. However, little is known about the effects of free, full-day universal pre-kindergarten (UPK) on child maltreatment, and these effects are theoretically ambiguous. This study addresses this gap by estimating the association between New York City’s "Pre-K for All" – a universal, free, full-day pre-K program for 4-year-old children rolled out during the 2014–15 and 2015–16 academic years – and child maltreatment investigation rates.
Using data from the National Child Abuse and Neglect Data System, we construct aggregate county-year-age-level data on NYC’s child protective services (CPS) investigations from 2010–11 to 2016–17, focusing on overall CPS investigation rates (per 1,000 children) and those specifically for physical abuse and neglect. We estimate intent-to-treat effects using difference-in-differences (DID) and event study (ES) designs, comparing 4-year-olds (eligible for UPK) to 8-year-olds (ineligible during the study period). Pre-treatment trends between groups are parallel. We use wild cluster bootstrap methods to adjust for fewer than 30 clusters (counties).
DID results show that UPK led to a significant reduction of 4 CPS investigations per 1,000 children (an 11% decline from baseline), driven entirely by reductions in neglect. ES results indicate that effects grow over time, leading to 8 fewer cases per 1000 children in total CPS and neglect investigations two years post-implementation. Subgroup analyses reveal that reductions are more pronounced among Black and Hispanic children. No effects were found for physical abuse.
These findings suggest that UPK may serve as an effective child maltreatment prevention policy, implying a potentially higher return on investment in UPK than expected, given that reducing maltreatment is not an explicit goal of UPK.</t>
  </si>
  <si>
    <t>72.33.2.155</t>
  </si>
  <si>
    <t>R_6CHkHNxG0Y0ePsw</t>
  </si>
  <si>
    <t>Liza</t>
  </si>
  <si>
    <t>Loza</t>
  </si>
  <si>
    <t>lloza@wisc.edu</t>
  </si>
  <si>
    <t>CGSI</t>
  </si>
  <si>
    <t>Beyond the reference strain: A fresh look at Candida albicans adhesion</t>
  </si>
  <si>
    <t>Liza Loza, Siobhan Dietz, Robert Fillinger, Norma Solis, Scott Filler, Matt Anderson</t>
  </si>
  <si>
    <t xml:space="preserve">Attachment of the human commensal yeast Candida albicans to human epithelial cells is mediated by cell surface proteins called adhesins. Certain adhesins have been well studied in the reference strain SC5314. However, C. albicans encodes many predicted adhesins whose specificity has not yet been characterized. Furthermore, different clinical isolates may rely on different subsets of adhesins to interact with the host. To investigate this idea, we inoculated human epithelial cells with SC5314 or the clinical isolate 529L and collected RNA at set intervals. Genes that were significantly upregulated in SC5314 relative to 529L include genes encoding adhesins that have been previously studied in SC5314. Interestingly, four genes that were upregulated in 529L relative to SC5314 encode predicted but uncharacterized adhesins. 529L is thus an exciting context in which to study these putative adhesins. Using complementary approaches, I plan to test whether these four candidates are adhesins and, if so, determine their interaction partners. First, I will express each candidate in Saccharomyces cerevisiae and test transformants’ adherence to relevant extracellular matrix proteins (ECMs) in vitro. In parallel, I will delete the gene encoding each candidate adhesin in 529L. I will then assess mutant adherence to ECMs and epithelial cells; their rate of internalization by epithelial cells; and finally, their persistence in a mouse model of oral colonization. Defining the adhesin profile of 529L will expand our understanding of basic Candida biology beyond the reference strain and provide insight into fungal-host interactions that may dictate colonization dynamics. </t>
  </si>
  <si>
    <t>35.148.41.143</t>
  </si>
  <si>
    <t>R_79ublVOVAPFEzPn</t>
  </si>
  <si>
    <t>Jiawei</t>
  </si>
  <si>
    <t>Shan</t>
  </si>
  <si>
    <t>jiawei.shan@wisc.edu</t>
  </si>
  <si>
    <t>Department of Biostatistics &amp; Medical Informatics</t>
  </si>
  <si>
    <t>SADA: Safe and Adaptive Aggregation of Multiple Black-Box Predictions in Semi-Supervised Learning</t>
  </si>
  <si>
    <t>Jiawei Shan, Yiming Dong, Jiwei Zhao</t>
  </si>
  <si>
    <t>Semi-supervised learning (SSL) arises in settings where labeled data are scarce or expensive to obtain, while large quantities of unlabeled data are readily available. With the growing adoption of machine learning techniques, it has become increasingly feasible to generate multiple predicted labels using a variety of models and algorithms, including deep learning, large language models, and generative AI. In this paper, we propose a novel SSL algorithm that safely and adaptively aggregates multiple black-box predictions with unknown quality. Our method provides two key guarantees: (i) it never performs worse than using the labeled data alone, regardless of the quality of the predictions; and (ii) if any one of the predictions (without knowing which one) perfectly fits the ground truth, the algorithm adaptively exploits this to achieve either a faster convergence rate or the semiparametric efficiency bound. We demonstrate the effectiveness of the proposed algorithm through experiments on both synthetic and benchmark datasets.</t>
  </si>
  <si>
    <t>21</t>
  </si>
  <si>
    <t>144.92.108.9</t>
  </si>
  <si>
    <t>R_6O8n1hwLrhGASUz</t>
  </si>
  <si>
    <t>Ayushi</t>
  </si>
  <si>
    <t>Kapoor</t>
  </si>
  <si>
    <t>akapoor33@wisc.edu</t>
  </si>
  <si>
    <t>pd</t>
  </si>
  <si>
    <t xml:space="preserve">Center for Dairy Research </t>
  </si>
  <si>
    <t>14</t>
  </si>
  <si>
    <t>76.235.101.19</t>
  </si>
  <si>
    <t>R_7j3wzHciLfqu9l6</t>
  </si>
  <si>
    <t>Zebin</t>
  </si>
  <si>
    <t>Li</t>
  </si>
  <si>
    <t>zli2796@wisc.edu</t>
  </si>
  <si>
    <t>He/Him/His</t>
  </si>
  <si>
    <t>Department of Materials Science and Engineering</t>
  </si>
  <si>
    <t>Machine Learning Powered Graph Network Analysis for Solid-state Battery Cathodes</t>
  </si>
  <si>
    <t>Zebin Li1, Shimao Deng2, Yijin Liu2, Jiamian Hu1, 1Department of Materials Science and Engineering, University of Wisconsin-Madison, Madison, WI 53706 2Walker Department of Mechanical Engineering, University of Texas at Austin, Austin, TX 78712</t>
  </si>
  <si>
    <t>Particle composites are widely used in solid-state and electrochemical system, such as solid-state batteries (SSBs), solid oxide fuel cells, advanced sensors, etc. The microstructure of these particulate composites, particularly the phase boundaries and interfacial contacts, can critically affect the system performance. While the importance of microstructure is widely acknowledged, the processes and mechanisms that govern the relationship between structure, properties, and performance remain highly complex and insufficiently understood. Thus, developing deep insights of how microstructural features impact performance is crucial for further optimization and improvement. Here, we take the composite cathode of SSBs as an example, where triple phase boundaries (TPBs) between particles of mixed active cathodes (e.g., LiNixMnyCozO2, x + y + z = 1, donated as NMC), solid-state electrolytes (SSE), and conductive carbons (e.g., graphite) play a crucial role in battery performances, like capacity, reaction kinetics, and lifespan. However, it is a computational challenge to process and analyze the high-dimensional and large-volume data with high accuracy, automation, efficiency, to gain insights from the X-ray images of microstructures of SSBs. In this work, we propose an automated phase segmentation framework supporting particle network analysis for SSBs cathodes based on deep learning. In particular, three components in cathodes, i.e., NMC, SSE, and graphite, are first segmented into three phases using U-Net. Then, graphs are constructed based on the segmentation maps to reflect the connections among different phases. Furthermore, according to the constructed graphs, the TPBs can be searched in a quick and automatic way, enabling the functional relevant analysis for the cathode of SSBs. Our work not only provides an automatic pipeline enabling the analysis from X-ray images to TPBs of SSBs, but also reveals the electrochemical properties of TPBs for better understanding of the mechanism of SSBs. Besides, the proposed framework has great application potential in other particle composite systems to boost the automation of their functional relevant analyses.</t>
  </si>
  <si>
    <t>128.104.14.59</t>
  </si>
  <si>
    <t>R_17E9JOS6aUWS57D</t>
  </si>
  <si>
    <t>Roberta</t>
  </si>
  <si>
    <t>Dollinger</t>
  </si>
  <si>
    <t>dollinger@wisc.edu</t>
  </si>
  <si>
    <t>She/her/hers</t>
  </si>
  <si>
    <t>Cell and Regenerative Biology</t>
  </si>
  <si>
    <t>Deciphering the molecular mechanism of mixed lineage leukemia partial tandem duplications (MLL-PTD) in acute myeloid leukemia (AML)</t>
  </si>
  <si>
    <t>Roberta Dollinger, Audrey Kopp, Omar Arias-Gaguancela, James Johnson, Jeff Ranish, Marjorie Brand</t>
  </si>
  <si>
    <t xml:space="preserve">The mixed lineage leukemia (MLL) methyltransferase gene is a member of the trithorax group family of factors and plays a significant role in development and hematopoiesis. In a healthy context, MLL is a lysine methyltransferase that catalyzes trimethylation of histone H3 at lysine 4 (K3K4me3), facilitating a transcriptionally permissive environment at promoters. However, defects in MLL are associated with hematopoietic malignancies. One class of MLL-related cancers involves rearrangements of the MLL N-terminal region that manifest as in-frame partial tandem duplications (PTD) of MLL’s N-term domains, resulting in an elongated protein with aberrant function, with the most common form of MLLPTD containing duplications of exons 2-6. MLLPTD appears in up to 10% of patients with myelodysplastic syndrome (MDS) or acute myeloid leukemia (AML) and has been identified as a strong predictor of adverse outcomes, on par with defects in p53. Despite its clinical importance, the MLLPTD has not been well characterized and its mechanistic functions remain poorly understood. We have characterized the PTD region of multiple MLLPTDs by Oxford Nanopore sequencing. We show that patients with MLLPTD-associated AML can have multiple copies of the exon 2-6 duplication as well as additional complexities within the coding region. We also hypothesized that MLLPTD facilitates progression to AML by disrupting normal gene expression through differential protein-protein interactions relative to wild-type MLL. We identified a putative MLLPTD interactor, KAT2A, that can be targeted for acute degradation. Degradation of KAT2A has a distinctively deleterious effect on cells expressing MLLPTD and treating MLLPTD-expressing cells with a KAT2A degrader slows proliferation when these cells are transplanted into immunodeficient mice. We conclude that KAT2A plays a critical role in MLLPTD function. Future studies will focus on molecular characterization of the interaction between MLLPTD and KAT2A.  </t>
  </si>
  <si>
    <t>162.230.90.193</t>
  </si>
  <si>
    <t>R_3JgGgqgpq1laZat</t>
  </si>
  <si>
    <t>Zhaozhe</t>
  </si>
  <si>
    <t>Chen</t>
  </si>
  <si>
    <t>zhaozhe.chen@wisc.edu</t>
  </si>
  <si>
    <t>He/him</t>
  </si>
  <si>
    <t>Postdoc Research Associate</t>
  </si>
  <si>
    <t>Soil and Environmental Sciences</t>
  </si>
  <si>
    <t>Leveraging information theory to investigate evapotranspiration-hydroclimate synchrony under changing hydrologic regimes</t>
  </si>
  <si>
    <t>Zhaozhe Chen, Margaret Zimmer, Erin Seybold, Kendra Kaiser, John Mallard, Lauren Lowman, Laurel Larsen, Desneiges Murray, Galen Gorski, Nick Gubbins, Alexandra Contosta, Arik Tashie, Salli Dymond, Adma Price</t>
  </si>
  <si>
    <t xml:space="preserve">Evapotranspiration (ET) is a central process that links the water and energy cycles, and regulates ecosystem function, soil moisture conditions, and downstream water availability. As hydroclimatic regimes shift across most regions in the continental United States, particularly toward more arid conditions, understanding how ET responds to intensifying atmospheric and soil moisture stress is increasingly important. Most existing studies assess ET responses to hydroclimatic drivers based on concurrent conditions, often overlooking potential lagged responses to antecedent states. Additionally, the relative importance of key drivers like vapor pressure deficit, soil moisture, and temperature in modulating ET responses across hydroclimatic gradients remains poorly understood. In this study, we use an information theory framework to examine the synchrony between ET and hydroclimatic drivers across over 150 AmeriFlux sites, with record lengths ranging from approximately 5 to 20 years. We describe the complex land-atmosphere coupling as a network of information flows and define synchrony in terms of strength, timing (lag), and memory of coupling. We found that ET responds differently to individual hydroclimatic drivers, showing distinct time lags, from hours to weeks, and varying degrees of sensitivity. Patterns of ET-hydroclimate synchrony showed considerable spatial variation, modulated by long-term climatic conditions and critical zone attributes like soil properties, rooting depth, and plant hydraulic traits. The ET-hydroclimate synchrony also varied across years, showing different patterns between drought and wet years, suggesting dynamic shifts in land-atmosphere coupling under changing water availability. Our findings highlight the importance of accounting for time lags and process-specific drivers when evaluating ET dynamics and improve our understanding of ecosystem responses to changing hydrologic regimes.
</t>
  </si>
  <si>
    <t>108.198.118.164</t>
  </si>
  <si>
    <t>R_5IWd2v7oH8JbgvV</t>
  </si>
  <si>
    <t>Vishnu</t>
  </si>
  <si>
    <t>Raj</t>
  </si>
  <si>
    <t>vraj3@wisc.edu</t>
  </si>
  <si>
    <t>NLP-67 neuropeptide and its allatostatin C like GPCR receptor NPR-28 regulate the stress induced sleep in C. elegans</t>
  </si>
  <si>
    <t>Vishnu Raj, Luca Golinelli, Isabel Beets, Han Wang</t>
  </si>
  <si>
    <t xml:space="preserve">Sleep is a highly conserved physiological process, regulated by genetic mechanisms, across invertebrates and vertebrates. It is essential for repairing cellular damage incurred during wakefulness or from noxious stimuli. The sleep response triggered by external stressors such as heat, UV, chemicals and pathogens to regain the cellular homeostasis is known as stress-induced sleep (SIS). In C. elegans SIS observed following immune or environmental stress is characterized by cessation of feeding, body movements as well as reduced responsiveness to the environment. This is primarily mediated by the global activation of epidermal growth factor (EGF) signalling through EGF receptors (EGFR) in the ALA neuron. Nonetheless, cellular damages to diverse tissues promote secretion of tissue specific sleep signalling molecules. One such recently identified tissue specific signalling molecule stress-induced sleepless-1(SISS-1), also acting through EGFR. Despite extensive research, the downstream molecular pathways of EGF and SISS-1 that regulate SIS remain largely unknown. 
In this study we aimed to understand the downstream regulators of SIS. Through an unbiased forward genetic screen we identified neuropeptide like protein gene NLP-67 promoting feeding quiescence during SIS. Requirement of NLP-67 for both EGF and SISS-1 mediated sleep makes it as a key regulator of SIS, in addition to its strong enrichment in ALA neuron. We determined that NLP-67 exerts its effect on SIS through allatostatin C type like GPCR receptor-NPR-28 through a receptor mutants screening. Nevertheless, NPR-28 has been found to be activated by NLP-67 in oocyte culture and required for SIS in-vivo through genetic interaction with NLP-67. A transcriptional reporter driven by endogenous NPR-28 promoter showed expression in the neurons, muscles and intestinal cells. This receptor may potentially function in the wake promoting neurons-a pan neuronal rescue underlines this notion. Furthermore, genetic and biochemical evidence strongly suggests NPR-28 function through G- alpha subunit-Gαo, a conserved Pertussis Toxin-sensitive G protein. 
Together, our data represents how a single neuroendocrine cell coordinate organism-wide and tissue specific stress behavioural response through a neuropeptide and its GPCR. This novel neuropeptide-GPCR interaction and the underlying molecular mechanisms will advance our understanding of neuronal basis of sleep mechanisms in animals.
</t>
  </si>
  <si>
    <t>128.104.202.246</t>
  </si>
  <si>
    <t>R_5bj6tbt1vJQDGGl</t>
  </si>
  <si>
    <t>Efrain</t>
  </si>
  <si>
    <t>Rodriguez Ocasio</t>
  </si>
  <si>
    <t>rodriguezoca@wisc.edu</t>
  </si>
  <si>
    <t>Postdoctoral Fellow</t>
  </si>
  <si>
    <t>Chemical and Biological Engineering</t>
  </si>
  <si>
    <t>Identification of replacement bioproducts for the decarbonization of the chemical industry</t>
  </si>
  <si>
    <t>Efrain Rodriguez Ocasio, Brian Pfleger</t>
  </si>
  <si>
    <t>A significant challenge for conversion researchers is the identification of economically viable target chemicals for bioproduction. Much of the previous and current work has focused on the bioproduction of existing commodity chemicals to replace petroleum-based production methods for these chemicals. In many cases, the cost comparison of producing these chemicals through a biological process is unfavorable compared to the petroleum-based process. This economic challenge suggests that an alternative avenue of investigation would be the identification of promising replacement chemicals and the biological means to produce these replacement chemicals. This project integrates genome scale metabolic models and process models to assess promising replacement chemicals and guide the selection of new target molecules for bioproduction. This project looks beyond the traditional platform chemicals to identify molecules that can be produced from lignocellulosic biomass with an economically competitive process and a lower carbon footprint than petroleum-based chemicals.</t>
  </si>
  <si>
    <t>22</t>
  </si>
  <si>
    <t>50.93.208.251</t>
  </si>
  <si>
    <t>R_3ZPHbhHuzX1VM99</t>
  </si>
  <si>
    <t>Anumitha</t>
  </si>
  <si>
    <t>Venkatraman</t>
  </si>
  <si>
    <t>venkatraman4@wisc.edu</t>
  </si>
  <si>
    <t>Otolaryngology Head and Neck Surgery</t>
  </si>
  <si>
    <t>Effects of Psychosocial Stress on Laryngeal Epithelial Barrier Integrity</t>
  </si>
  <si>
    <t>Anumitha Venkatraman, Susan Thibeault</t>
  </si>
  <si>
    <t xml:space="preserve">Background: Psychosocial stress and voice disorders are linked. Whereas up to 25% of patients with voice problems report concurrent stress, even a single stressful event can cause negative changes in voice quality. Epithelium is the first layer of defense in mucosal organs, such as the larynx (or voice box), limiting pathogenic access and infiltration. In other mucosal organs, stress-induced epithelial barrier dysfunction is characterized by decreased mucus thickness, decreased tight and adherens junction integrity, which responsible for maintaining epithelial cytoskeletal structure, and upregulation of toll like receptors that recognize microbes on the epithelial surface and trigger downstream responses. However, stress-altered effects on laryngeal epithelial barrier integrity remain unknown. Altered laryngeal epithelial barrier integrity could leave the larynx susceptible to infection and inflammation, with overarching effects on vocal quality.
Objective: To delineate the effects of stress on laryngeal epithelial barrier integrity. We hypothesize that stress will lead to a downregulation of gene/protein targets encoding for mucins (MUC2) , adherens and tight junctions (E cadherin, Zo-1), and an upregulation of gene/protein targets encoding for toll like receptors (TLR 2,4)  and inflammatory cytokines.
Methods: Fifty-four, C56BL/7 adult mice were allocated to stressed or control groups. Stressed animals completed a validated 14-day restraint stress protocol. Following stress, larynges were processed for downstream analysis. Stress-altered epithelial targets in the larynx were delineated using RT-qPCR  and immunofluorescence.
Results: Stress downregulated gene and/or protein expression of inflammatory cytokines, mucins, adherens and tight junction (E cadherin, Zo-1), but upregulated expression of toll like receptors. 
Conclusions: Psychosocial stress alters laryngeal epithelial barrier integrity. Altered epithelial integrity can increase the larynx’s susceptibility to the effects of environmental (pollution smoking/vaping), systemic (reflux) and mechanical factors (increased voice use). These data lay the groundwork for better delineating stress-altered host-microbe interactions in the larynx. 
</t>
  </si>
  <si>
    <t>72.33.2.204</t>
  </si>
  <si>
    <t>R_5NEQ9naYjY8p3AB</t>
  </si>
  <si>
    <t>Minju</t>
  </si>
  <si>
    <t>mkim893@wisc.edu</t>
  </si>
  <si>
    <t>Medical Microbiology and Immunology</t>
  </si>
  <si>
    <t>Vesicle inhibition reduces Candida biofilm resistance</t>
  </si>
  <si>
    <t>Min-Ju Kim, Robert Zarnowski, Ryley Jones, Jeniel E. Nett, David Andes</t>
  </si>
  <si>
    <t>Candida biofilm matrix components are delivered to the extracellular space by vesicles where they deposit and confer biofilm-associated drug resistance. Here, we present evidence that drugs designed to inhibit mammalian exosome production exhibit similar effects on C. albicans extracellular vesicles, ultimately eliminating biofilm matrix assembly. We find that vesicle reduction renders biofilm communities susceptible to the antifungal fluconazole. Our findings argue that vesicle trafficking pathways represent a promising target to optimize for recalcitrant fungal biofilms.</t>
  </si>
  <si>
    <t>72.33.2.44</t>
  </si>
  <si>
    <t>R_3lWcSVHJ1c06WCg</t>
  </si>
  <si>
    <t>Marie</t>
  </si>
  <si>
    <t>Huynh</t>
  </si>
  <si>
    <t>mmhuynh@wisc.edu</t>
  </si>
  <si>
    <t>Post doctoral research associate</t>
  </si>
  <si>
    <t>Chemistry</t>
  </si>
  <si>
    <t>Hook, line and sinker: fishing for bacterial membrane transporters using chemical probes</t>
  </si>
  <si>
    <t>Marie Huynh, Minhua Cao, Justin H. Dang, Axia Marlin, Inokentjis Josts, Henning Tidow, and Eszter Boros</t>
  </si>
  <si>
    <t xml:space="preserve">Survival of bacteria in the human body is closely associated with nutrient acquisition, which is essential for growth and proliferation of pathogens. To survive in a human host, bacteria develop strategies to harvest essential nutrients such as iron. To this end, a common bacterial strategy involves the production of small molecules called siderophores, that are able to sequester iron and import it into the cell. This import is made through dedicated transporters, many of which still remain unknown. A common strategy to uncover these transporters is to systematically eliminate the expression of presumptive membrane proteins and study their consequence on iron import. However, this approach presents several drawbacks. It is a time-consuming, expensive procedure that does not allow an exhaustive screening of the numerous proteins present at the membrane of bacteria. In this work, we propose the use of a chemical probe with an iron-siderophore as bait to ‘fish out’ unknown membrane proteins involved in siderophore uptake and facilitate their identification. Breaking down this chemical probe in defined building blocks – bait, hook, fishing rod; we achieved a design that is efficiently recognized by membrane transporters and can be recovered for protein identification. Using this carefully designed chemical probe, we were able to identify and uncover the role in iron uptake of thus far uncharacterized proteins. </t>
  </si>
  <si>
    <t>72.33.2.161</t>
  </si>
  <si>
    <t>R_5gIz5HFBInAd86M</t>
  </si>
  <si>
    <t>Gayatri</t>
  </si>
  <si>
    <t>Puri</t>
  </si>
  <si>
    <t>gpuri3@wisc.edu</t>
  </si>
  <si>
    <t>144.92.38.230</t>
  </si>
  <si>
    <t>R_5b7CgFfG8AAIR9L</t>
  </si>
  <si>
    <t>Nikunj</t>
  </si>
  <si>
    <t>Mehta</t>
  </si>
  <si>
    <t>nmehta22@wisc.edu</t>
  </si>
  <si>
    <t>Neuroscience</t>
  </si>
  <si>
    <t>Tale of two synaptotagmins (1 and 7): phase separation and synaptic transmission</t>
  </si>
  <si>
    <t>Devin T. Larson, Raghava J. Salaka, Mitch Wozney, Smrithika Subramani, Shweta Mishra, Simi Kaur, Avani Jain, Edwin R. Chapman</t>
  </si>
  <si>
    <t>Neuronal communication relies on the precise, millisecond-timescale release of neurotransmitters at synapses. The precise timing of synaptic communication is regulated by synaptotagmin (syt) proteins, which act as key calcium (Ca2+) sensors. Our work reveals that the oligomerization state of synaptotagmins, governed by their juxtamembrane linkers, provides a critical layer of functional control. For syt1, we demonstrate that a lysine-rich region within its linker drives liquid-liquid phase separation (LLPS), forming protein condensates. This process is extensively regulated; condensate formation negatively regulates Ca2+ sensitivity of syt1, creating a feedback loop where Ca2+ and anionic phospholipids facilitate phase separation. This self-association mechanism, driven by the linker, emerges as a key regulator of the ability of syt1 to trigger neurotransmitter release.
This principle extends to other isoforms, such as syt7, a crucial regulator of short-term synaptic plasticity. Our results indicate that alternative splicing of the syt7 juxtamembrane linker acts as a molecular switch for its physical state. The α and β isoforms undergo LLPS to form liquid condensates, whereas the γ isoform forms solid-like aggregates. These distinct oligomerization states directly affect synaptic function, with different isoforms rescuing aspects of synaptic plasticity through different mechanisms. By localizing syt7 clusters to the active zone, we conclude that alternative splicing fine-tunes synaptic plasticity by differentially impacting syt7 oligomerization and physical state. Interestingly, droplets of syt1 and syt7 interact, mediated by their jxm linkers, might facilitate their Ca2+-sensing domains to interact in a Ca2+-dependent manner to recruit more synaptic vesicles during ongoing activity. Together, these findings establish that the juxtamembrane linkers of synaptotagmins are not mere tethers but sophisticated regulators that control synaptic function through the physics of phase separation.</t>
  </si>
  <si>
    <t>Super resolution microscopy imaging</t>
  </si>
  <si>
    <t>poster board</t>
  </si>
  <si>
    <t>144.92.135.79</t>
  </si>
  <si>
    <t>R_6QVLYThzhJjphrU</t>
  </si>
  <si>
    <t>Raghava Jagadeesh</t>
  </si>
  <si>
    <t>Salaka</t>
  </si>
  <si>
    <t>salaka@wisc.edu</t>
  </si>
  <si>
    <t>Post-Doctoral Research Associate</t>
  </si>
  <si>
    <t>Uncoupling the roles of synaptotagmin 7 splice variants in presynaptic plasticity</t>
  </si>
  <si>
    <t>Raghava Jagadeesh Salaka, Devin T Larson, Nikunj R Mehta, Edwin R Chapman</t>
  </si>
  <si>
    <t>Synapses can strengthen or weaken depending on activity and occur on short (milliseconds to seconds) or long (seconds to minutes) timescales. Facilitation is a presynaptic form of short-term plasticity event that occurs on milliseconds timescales. Facilitation is essential for information transfer and memory encoding in low neurotransmitter release probability synapses in the brain, such as the hippocampus. Facilitation greatly enhances the flow of information transfer by increasing synaptic strength. Moreover, facilitation counteracts the synaptic depression caused during sustained activity such as memory encoding. Synaptotagmin 7 (Syt7), belonging to the synaptotagmin family, is a calcium-sensing membrane-bound protein that serves as the sensor for facilitation. Besides facilitation, Syt7 supports asynchronous release and also replenishment of vesicles during high-frequency bursts. These multiple roles of Syt7 aid in synaptic efficacy between neurons. Syt7 is a unique synaptotagmin family protein that undergoes alternate splicing. Syt7α, β, and γ are the major splice variants and are classified based on the length of linker region. Although the role of Syt7 in synaptic transmission is well-studied, whether the splice variants differentially regulate various functions is unknown. Hence, this study evaluated the functions of Syt7 splice variants in synaptic transmission in hippocampal primary cultures. Our results indicate that Syt7α has a role in facilitation but not vesicle pool replenishment, whereas Syt7β and γ support both facilitation and replenishment. We further hypothesize that these splice variants are differentially expressed in the brain regions depending on their function. More studies are required to ascertain the latter.</t>
  </si>
  <si>
    <t>Wildlife Photography</t>
  </si>
  <si>
    <t>A good digital display board would be ideal.</t>
  </si>
  <si>
    <t>192.250.20.3</t>
  </si>
  <si>
    <t>R_70BYh99xjf8LwaZ</t>
  </si>
  <si>
    <t>Fatemeh</t>
  </si>
  <si>
    <t>Rashidi</t>
  </si>
  <si>
    <t>Frashidi@wisc.edu</t>
  </si>
  <si>
    <t>Fatima</t>
  </si>
  <si>
    <t>6124340378</t>
  </si>
  <si>
    <t>Radiology</t>
  </si>
  <si>
    <t>23</t>
  </si>
  <si>
    <t>R_6AZwGUMz9X7SbSN</t>
  </si>
  <si>
    <t>frashidi@wisc.edu</t>
  </si>
  <si>
    <t>Research associate</t>
  </si>
  <si>
    <t>Department of Radiology University of Wisconsin-Madison</t>
  </si>
  <si>
    <t>216.131.76.98</t>
  </si>
  <si>
    <t>R_6v5LoMoqTYl41UU</t>
  </si>
  <si>
    <t>SRI HARSHA</t>
  </si>
  <si>
    <t>ADUSUMILLI</t>
  </si>
  <si>
    <t>sadusumilli4@wisc.edu</t>
  </si>
  <si>
    <t>he/him/his</t>
  </si>
  <si>
    <t>Postdoctoral research associate</t>
  </si>
  <si>
    <t>Chemical and Biological engineering</t>
  </si>
  <si>
    <t>R_7IYrDn2xlX3DacK</t>
  </si>
  <si>
    <t>postdoctoral research associate</t>
  </si>
  <si>
    <t>174.229.117.142</t>
  </si>
  <si>
    <t>R_660jMHMVgKCOfjH</t>
  </si>
  <si>
    <t xml:space="preserve">Santiago </t>
  </si>
  <si>
    <t>Perea</t>
  </si>
  <si>
    <t>pereaarroyo@wisc.edu</t>
  </si>
  <si>
    <t xml:space="preserve">Research Associate </t>
  </si>
  <si>
    <t>Department of Forest &amp; Wildlife Ecology</t>
  </si>
  <si>
    <t>R_7sRzorXuvV3w8Vz</t>
  </si>
  <si>
    <t>Santiago</t>
  </si>
  <si>
    <t>Wildlife Ecology</t>
  </si>
  <si>
    <t>144.92.135.65</t>
  </si>
  <si>
    <t>R_7eWETUmpP6ZqCJB</t>
  </si>
  <si>
    <t xml:space="preserve">Chandrani </t>
  </si>
  <si>
    <t>She</t>
  </si>
  <si>
    <t>Postdoctaral Research Associate</t>
  </si>
  <si>
    <t>df</t>
  </si>
  <si>
    <t>fefg</t>
  </si>
  <si>
    <t>fdgfe</t>
  </si>
  <si>
    <t>144.92.194.69</t>
  </si>
  <si>
    <t>R_3rD0JrOePpc8oRM</t>
  </si>
  <si>
    <t>William</t>
  </si>
  <si>
    <t>Coath</t>
  </si>
  <si>
    <t>wcoath@medicine.wisc.edu</t>
  </si>
  <si>
    <t>Beating the clock: Towards a standardized amyloid timeline for Alzheimer’s disease</t>
  </si>
  <si>
    <t>William Coath, Hailey Bruzzone, Jacob D Morse, Ruvini Navaratna, Finnuella J Carey, Tobey J Betthauser</t>
  </si>
  <si>
    <t>Alzheimer’s disease (AD) is an incurable neurodegenerative condition that begins with a decades-long silent period prior to clinical symptoms. This phase is marked by the abnormal accumulation of amyloid-beta plaques, and subsequently tau tangles, both measurable through positron emission tomography (PET). The presence of these aberrant proteins increases the risk of brain shrinkage and cognitive decline. The risk of AD also increases with age, however, symptoms may begin across a wide age range - typically after 65 years. Understanding the factors contributing to this variability is critical, as the pre-symptomatic phase promises the best window for preventative intervention. 
To investigate this phase, the progression of AD can be viewed on a disease-relevant timeline - informed by biomarker measurements - rather than chronological age. Through temporal modeling approaches, such as sampled iterative local approximation (SILA) developed at UW-Madison, patterns in longitudinal data are used to estimate the timing of pathologies. Specifically, although individuals start amyloid accumulation at different ages, the accumulation rate is predictable, enabling alignment of individuals on an ‘amyloid timeline’ and estimation of their age at amyloid onset. Application of this framework reveals that there is comparatively less variability in the time from amyloid to dementia compared to chronological age and facilitates investigation of factors that accelerate or slow progression. There are, however, issues with interpretability results from these methods across studies. 
The increasing number of longitudinal studies of AD necessitate standardized methods to generate biomarker timelines. This project aims to develop a generalizable, publicly available tool for estimating individual amyloid onset age from PET images. We are processing &amp;gt;5000 amyloid-PET scans from three major cohorts, building upon advances in image harmonization, processing, and modeling to reduce technical variability and broaden applicability. We will estimate age at amyloid onset for each participant and explore differences and similarities between cohorts in relation to demographic and clinical factors.
The establishment of a robust and shareable ‘amyloid clock’ will help to better define AD progression and enable exploration of individual-level heterogeneity.</t>
  </si>
  <si>
    <t>24</t>
  </si>
  <si>
    <t>216.131.120.88</t>
  </si>
  <si>
    <t>R_1xwPNk7tsv5myWt</t>
  </si>
  <si>
    <t>Production of medium chain length oleochemicals from C2 substrates</t>
  </si>
  <si>
    <t>Sri Harsha Adusumilli, Shivangi Mishra and Prof. Brian Pfleger</t>
  </si>
  <si>
    <t>Medium-chain-length (MCL) oleochemicals have the potential to serve as renewable sources of fuel owing to their cetane number and low melting point. The sustainable production of MCL oleochemicals is crucial given the current situation of global warming and diminishing natural fuel resources. Atmospheric CO2 can be converted into acetate and ethanol by gas fermentation by microbes. We demonstrated that acetate can be efficiently converted to MCL oleochemicals (Dodecanol) in Escherichia coli by the expression of medium chain thioesterase (TE), Acyl-CoA synthase (FadD) and Acyl-CoA reductase (ACR). We integrated the fatty alcohol pathway into E. coli and optimized the copy numbers of these enzymes. E. coli grown on acetate as a substrate has higher energy costs and no yield of reducing equivalents. We therefore chose to cofeed ethanol, a good electron, carbon, or energy source that could provide reducing equivalents when fed with acetate. E. coli is incapable of growing on ethanol; hence, we screened and expressed the operons with the best-performing combination of alcohol-assimilating genes from various sources and combined them with improved engineered acetate activation by using an Acetyl CoA Synthetase (ACS) mutant. We evaluated the performance of these operons in dodecanol-producing strains when fed with ethanol or acetate and found ethanol to be a better carbon source than acetate by the product titers. The engineered strains fed on ethanol produced about 2-fold more dodecanol than the strains fed on acetate, with these constructs. There was also change in the product distribution in these strains grown on ethanol due to efficient conversion of dodecanoic acid to dodecanol validating the importance of reducing equivalents supplied by ethanol metabolism. These engineered strains are then used to develop a fermentation process in the bioreactors that yield high titers of dodecanol from ethanol.</t>
  </si>
  <si>
    <t>72.33.2.182</t>
  </si>
  <si>
    <t>R_7b2vynjjWyacN50</t>
  </si>
  <si>
    <t>Matias</t>
  </si>
  <si>
    <t>He/him/his</t>
  </si>
  <si>
    <t>Department of Medicine</t>
  </si>
  <si>
    <t>Polyamines regulate cancer-induced loss of adipose tissue in a PDAC model.</t>
  </si>
  <si>
    <t>Matias Fabregat, Julia Hansen, Cameron Kaminski, Hoang Bui, Kayla Kressin, Lingjun Li, Andrea Galmozzi</t>
  </si>
  <si>
    <t>Cancer-associated cachexia (CC) affects approximately 80% of patients with advanced cancer and directly contributes to up to 20% of cancer-related deaths. Currently, no FDA-approved treatments exist for CC, largely due to an incomplete understanding of its underlying pathophysiology. Clinical studies show that fat loss often precedes muscle wasting and correlates more strongly with poor outcomes. Notably, increased adipocyte lipolysis and insulin resistance are early events in cachectic patients and serve as diagnostic markers of pre-cachexia.
The objective of this study is to characterize the role and mechanism of action of cancer-derived polyamines in adipose tissue dysfunction and cachexia progression. We hypothesize that tumor-derived polyamines mediate, at least in part, adipocyte dysfunction and promote fat waste in early cachexia.
We classified several cancer cell lines as pro-cachectic or non-cachectic based on the lipolytic activity induced in primary adipocytes exposed to their conditioned media (CM). Initial analysis of tumor-secreted factors revealed significantly elevated polyamine levels in pro-cachectic CM compared to non-cachectic CM. Notably, exposure of adipocytes to polyamines alone replicated the effects of pro-cachectic CM. Furthermore, inhibiting polyamine synthesis in cancer cells using DFMO, a selective ODC1 inhibitor, was sufficient to block the pro-lipolytic effects of their CM. These findings were validated in a cachectic mouse model of pancreatic cancer, where tumor-bearing mice exhibited significant fat mass reduction compared to sham-operated controls, despite comparable lean mass, supporting the concept that fat loss precedes muscle wasting. Importantly, body fat percentage negatively correlated with serum polyamine levels. Mechanistically, we determined that exposure to tumor-derived polyamines induced increased hypusination, a spermidine-dependent post-translational modification unique to eukaryotic initiation factor 5A (eIF5A), in adipocytes both in vitro and in vivo. Pharmacological inhibition of hypusination with GC7, a deoxyhypusine synthase (DHPS) inhibitor, effectively blocked the lipolytic response to pro-cachectic CM.
In summary, this work identifies tumor-derived polyamines as key mediators of adipose tissue dysfunction in cancer cachexia through the hyperhypusination of eIF5A, thereby enhancing lipolysis. These findings lay the groundwork for developing anti-cachectic therapies that target polyamine-dependent hypusination of eIF5A, potentially improving the quality of life and clinical outcomes for cancer patients suffering from cachexia.</t>
  </si>
  <si>
    <t>R_6zPeT2oHsCa1GI7</t>
  </si>
  <si>
    <t>Whey Out of Control? What Makes Dairy Powders Flow (or Fail)</t>
  </si>
  <si>
    <t>Ayushi Kapoor, John A. Lucey, Daniel Wilbanks</t>
  </si>
  <si>
    <t xml:space="preserve">Sweet whey powder (SWP), a by-product of cheese production, is made in huge quantities worldwide and used in everything from baby formula to protein shakes. But despite being nutritious and versatile, SWP has a frustrating problem: it tends to absorb moisture, form clumps, and lose its flow during storage. This makes it harder to use and leads to waste. This research asks a simple but important question—why does this happen, and how can it be fixed?
The answer lies in the way lactose, the main sugar in SWP, is structured inside the powder. Sometimes it forms stable crystals; other times, it becomes a fragile glass-like substance. These forms behave very differently when exposed to heat and moisture. To understand this, techniques like Differential Scanning Calorimetry, X-ray Diffraction, and Infrared Spectroscopy—alongside compositional and physico-chemical analyses—were used to study how lactose interacts with moisture and changes over time.
What’s new is the use of a rheometer, typically applied to liquids, to measure how well these powders flow—something rarely done for high-lactose ingredients. By linking this with the structural data, it was found that even small changes in lactose form can have a big effect on powder stability.
These findings improve how dairy powders are produced and stored while offering insights relevant to food, pharmaceutical, and materials sectors—where powder flow and stability are critical. By linking molecular structure and thermal behavior to practical performance, this research bridges fundamental science with real-world challenges, highlighting the value of cross-disciplinary approaches in driving innovation and sustainability across industries.
</t>
  </si>
  <si>
    <t>I would like to submit a few of my paintings.</t>
  </si>
  <si>
    <t>My paintings are on canvas, canvas boards, and small miniature wooden boards. I would appreciate props or easels to help display them upright on the table, as they are not suitable for hanging on poster boards.</t>
  </si>
  <si>
    <t>172.59.97.40</t>
  </si>
  <si>
    <t>R_3etubWoIRHyQ8Cc</t>
  </si>
  <si>
    <t>Madeleine</t>
  </si>
  <si>
    <t>Connolly</t>
  </si>
  <si>
    <t>mconnolly5@wisc.edu</t>
  </si>
  <si>
    <t>Kinesiology</t>
  </si>
  <si>
    <t>How Cognitive Behavioral Therapy changes our movement and sleep patterns: An exploration of accelerometry data before and after 8 weeks of CBT</t>
  </si>
  <si>
    <t>Madeleine L. Connolly, Siming Sun, Shania Kelly, Jeni Lansing, Thomas Murray, &amp; Jacob Meyer</t>
  </si>
  <si>
    <t>Adults with depression are generally less active than those without and may face additional mental health-related barriers to exercise. Whether physical activity levels can be improved or changed with psychological treatment for adults with major depressive disorder has not been established with objective physical activity and sedentary behavior data. The present study used data from the CBT+ preliminary study (n=40), which comprised two 8-week Cognitive Behavioral Therapy (CBT) treatment arms: ActiveCBT (n=19), an arm with 30 minutes of moderate aerobic exercise as priming prior to CBT, and CalmCBT (n=21), an arm with 30 minutes of quiet rest prior to CBT. Here, we analyzed accelerometer-derived (activPAL) physical activity data from before and after the CBT-based intervention. Only accelerometer-derived total sedentary time significantly changed over time, with a total decrease of 56 minutes per day after CBT across all participants (95% CI: −103.02 to −9.49 min/day; p = .021), with no significant between-group difference on total sedentary time. Furthermore, a significant difference on uninterrupted sleep time was found, with an average increase of 34 minutes per day after CBT for all participants (95% CI: 5.7 to 61.68 min/day; p = .02). There were no differences between groups on sleep changes pre- and post-intervention. No significant differences were found on accelerometer-derived moderate-to-vigorous physical activity, nor long bouts of sedentary time. Present results indicate that CBT may be useful in the treatment of sleep disturbances in the context of major depressive disorder, but not in increasing physical activity levels overall.</t>
  </si>
  <si>
    <t>Photographs of wildlife from Wyoming and Borneo. I will likely have these printed at 8x10 size</t>
  </si>
  <si>
    <t>Table props</t>
  </si>
  <si>
    <t>128.104.108.36</t>
  </si>
  <si>
    <t>R_1JmB9yD8UK0tHER</t>
  </si>
  <si>
    <t>Kavita</t>
  </si>
  <si>
    <t>Mitkari</t>
  </si>
  <si>
    <t>mitkari@wisc.edu</t>
  </si>
  <si>
    <t>Space Science and Engineering Center</t>
  </si>
  <si>
    <t>Yes - Poster</t>
  </si>
  <si>
    <t>Kavita Mitkari, Xuanji Wang, Rich Dworak, Yinghui Liu, and Jeff Key</t>
  </si>
  <si>
    <t>Using Machine Learning for Precise Classification of Sea-Ice Types from Synthetic Aperture Radar Data</t>
  </si>
  <si>
    <t>Sea-ice type classification is an important component of the cryosphere studies in polar regions. The ice type classification is needed for selecting the safer ship navigation route during scientific expeditions. Moreover, changes in the properties of ice cover point to a changing climate. In this paper we examine the effectiveness of Convolutional Neural Network (CNN) for discriminating various sea-ice types using SAR data. Reference ice charts created by human specialists are used to train the CNN. The sea-ice types considered are new ice, young ice, first-year ice, and old ice including open ocean.   Previously, considerable efforts were put for precise classification of sea-ice types. Classification of various sea-ice types using pixel-based classification from remote sensing data faces challenges due to spectral similarity among sea-ice types. The object-based image classification approach has shown immense potential too for sea-ice types of classification; however, their portability is constrained due to the threshold adjustments needed for applying over different regions. These limitations can be overcome using intelligent deep learning. Further, radar is sensitive to changes in the surface and uppermost layer of ice, which occur over time and are influenced by external factors including temperature, wind, and precipitation. Hence, a precise classification of sea-ice types cannot be achieved solely using backscatter. Consequently, using CNN in conjunction with signal intensity and textural properties from cross-polarization channels helps enhance the classification of sea ice types. This study is important as automated classification of sea-ice types using will provide fast and robust method for generating global ice charts which presently are created using visual interpretation and manual digitization.  The algorithm can be improved further for multiyear ice classification. Additionally, we aim to focus our future research on retrieval of sea-ice thickness and explore the potential benefits of using ice type information derived from SAR data.</t>
  </si>
  <si>
    <t>Painted bottle(S) (can be used as night lamp) and painted clay lamp</t>
  </si>
  <si>
    <t>NA</t>
  </si>
  <si>
    <t>72.33.2.163</t>
  </si>
  <si>
    <t>R_5Xjpg2jEpWJibOU</t>
  </si>
  <si>
    <t>Fabio</t>
  </si>
  <si>
    <t>Squarcio</t>
  </si>
  <si>
    <t>squarcio@wisc.edu</t>
  </si>
  <si>
    <t>Psychiatry</t>
  </si>
  <si>
    <t>Ultrastructural effects of learning and post-learning sleep on the dorsal striatum</t>
  </si>
  <si>
    <t>Fabio Squarcio, Sophia S Loschky, Hirotaka Nagai, Giovanna Maria Spano, William Marshall, Giulio Tononi, Chiara Cirelli</t>
  </si>
  <si>
    <t xml:space="preserve">Sleep is widely recognized for its role in supporting brain function, particularly in learning and memory. A leading idea explaining this role is the Synaptic Homeostasis Hypothesis (SHY), first proposed and extensively tested in our lab at the University of Wisconsin–Madison. SHY posits that ongoing learning during wakefulness causes a net increase in synaptic strength in many brain areas, and sleep is needed to counterbalance this process and promote the weakening of many synapses, thereby reducing the energy costs of brain activity and preventing synaptic saturation. 
While evidence for SHY has been well-documented in the cortex and hippocampus, fewer studies have examined its role in learning and in subcortical regions such as the striatum, which is essential for motor learning. Here, we used serial block-face scanning electron microscopy to assess changes in synapse number and axon-spine interface (ASI) size—an ultrastructural marker of synaptic strength—in medium spiny neurons of the dorsomedial (DM) and dorsolateral (DL) striatum in mice.
Four experimental groups were studied: untrained awake controls (W), trained mice in a motor task (T), and trained mice either allowed to sleep (S) or sleep-deprived (SDep) for 6 hours post-training. In the DM striatum, a region implicated in early phase of learning, we observed a post-training increase in ASI size among spines with high plastic potential. Sleep following training led to a significant reduction in synapse number, consistent with SHY’s prediction of selective synaptic pruning. This effect was absent in sleep-deprived animals. In contrast, the DL striatum, involved in later stages of automatic performance, showed minimal ASI changes and no sleep-dependent pruning. Thus, post-learning synaptic pruning afforded by sleep may be especially important early in the motor-learning process.
These findings extend the reach of SHY to the striatum and highlight sleep’s critical role in fine-tuning brain circuits during early skill acquisition. By preserving key synaptic changes and eliminating less relevant ones, sleep enhances circuit efficiency and memory consolidation.
</t>
  </si>
  <si>
    <t>I have some pictures taken in the lab and I would try choose one and print it to present it if that will be possible.</t>
  </si>
  <si>
    <t>a prop to hold up a photo will be enough</t>
  </si>
  <si>
    <t>128.104.233.167</t>
  </si>
  <si>
    <t>R_7QYuKnNacnxE9PE</t>
  </si>
  <si>
    <t>Aditi</t>
  </si>
  <si>
    <t>Gargeshwari</t>
  </si>
  <si>
    <t>gargeshwari2@wisc.edu</t>
  </si>
  <si>
    <t>Waisman Center</t>
  </si>
  <si>
    <t>Timing is everything! Unlocking Spatial Hearing for Cochlear Implant Users</t>
  </si>
  <si>
    <t>Aditi Gargeshwari, G. Nike Gnanateja, Karen Gordon, &amp; Ruth Y. Litovsky</t>
  </si>
  <si>
    <t>Imagine you're in a crowded room, someone calls your name, and you turn exactly in the right direction to find them. Easy, right? Well, only if your ears are working as a perfectly synchronized duo. This simple, everyday skill—knowing where a sound is coming from—is something most of us take for granted. But for many cochlear implant (CI) users, it’s a daily challenge.
Cochlear implants are remarkable devices that can restore hearing to people with profound deafness. But when someone has CIs in both ears, the two devices often work independently, without synchrony. That means they don’t deliver the precise timing cues the brain needs to figure out where a sound originated. They might hear the name call—but have no idea if it was from behind or in the front. This makes navigating the world, joining conversations in noisy places, or even locating a loved one’s voice much more difficult.
Our research delves into how the brain uses synchronized timing cues from both ears to localize sound. Interestingly, we’ve found that individuals who had acoustic hearing early in life—before experiencing hearing loss—are still able to use timing cues better than those who lost their hearing at an early age. This suggests that early exposure to sound helps shape the brain’s neural networks in ways that allow the brain to process spatial information more effectively. 
By understanding how the brain processes timing cues, we hope to inform future signal processing strategies for CIs. Our goal is to improve sound localization for CI users, making it easier to navigate the world, engage in conversations, and respond to the environment in ways that feel natural and intuitive. Ultimately, it’s about more than just hearing—it’s about reconnecting people to the world around them with the precision they need!</t>
  </si>
  <si>
    <t>128.104.186.93</t>
  </si>
  <si>
    <t>R_6ahqRWA0kAvmXgz</t>
  </si>
  <si>
    <t>Ara</t>
  </si>
  <si>
    <t>akim244@wisc.edu</t>
  </si>
  <si>
    <t>She/her/her</t>
  </si>
  <si>
    <t>Department of Mechanical Engineering</t>
  </si>
  <si>
    <t xml:space="preserve">Dynamic Material Response during Impact-Induced Momentum Transfer </t>
  </si>
  <si>
    <t>Ara Kim, Yasara Dharmadasa, Nicholas Jaegersberg, Jizhe Cai, Ramathasan Thevamaran</t>
  </si>
  <si>
    <t xml:space="preserve">Impact phenomena across various scales, from micrometeorite collisions to ballistic threats, underscore the growing significance of protective systems in aerospace, defense systems, and bioengineering. Lightweight and flexible materials are crucial for protective systems due to their superior strength-to-weight ratio. Although kinetic energy dissipation per unit mass has been widely employed to evaluate protective performances of materials, the correlation between quantitative metrics and qualitative material responses remains insufficiently characterized. Furthermore, effective protective systems must not just resist penetration but also ensure efficient stress distribution to mitigate secondary damage to protected structures. 
This study investigates the coupled dynamics of momentum transfer and material response under high-strain rate impact conditions across multiple geometric scales. The momentum transfer is shown to depend critically on geometric scales and strain rates of the collision system. Moreover, the dynamic behavior of impacted materials exerts reciprocal influence on momentum changes. 
The proposed framework establishes a foundation for connecting quantitative motion analysis with qualitative dynamic response of materials, facilitating deeper insight into impact-induced phenomena. These findings inform the development of advanced metamaterials with improved resilience and sustainability for protection technologies. </t>
  </si>
  <si>
    <t>R_51mo3ImBhp5wR4J</t>
  </si>
  <si>
    <t>Wenqian</t>
  </si>
  <si>
    <t>Jiang</t>
  </si>
  <si>
    <t>wjiang233@wisc.edu</t>
  </si>
  <si>
    <t>Electrical and Computer Engineering</t>
  </si>
  <si>
    <t>Greening the Grid: Electricity Market Clearing with Consumer-Based Carbon Cost</t>
  </si>
  <si>
    <t>Wenqian Jiang and Line Roald</t>
  </si>
  <si>
    <t>To enhance decarbonization efforts in electric power systems, we propose a novel electricity market clearing model that internalizes the allocation of emissions from generations to loads and allows for consideration of consumer-side carbon costs. Specifically, consumers can not only bid for power but also assign a cost to the carbon emissions incurred by their electricity use. These carbon costs provide consumers, ranging from carbon-agnostic to carbon-sensitive, with a tool to actively manage their roles in carbon emission mitigation. By incorporating carbon allocation and consumer-side carbon costs, the market clearing is influenced not solely by production and demand dynamics but also by the allocation of carbon emission responsibilities. To demonstrate the effect of our proposed model, we conduct a case study comparing market clearing outcomes across various percentages of carbon-sensitive consumers with differing carbon costs. Further, we conduct a comparative analysis with two strategies—carbon flow and carbon cost—to evaluate their distinct impacts on carbon emission reduction. Numerical analyses shed light on the mechanisms through which carbon costs contribute to emission reductions and inform the ongoing debate about different carbon emission reduction mechanism designs in the electricity sector.</t>
  </si>
  <si>
    <t>144.92.38.238</t>
  </si>
  <si>
    <t>R_3NPpjv0KNWU16Q3</t>
  </si>
  <si>
    <t>Jiaqi</t>
  </si>
  <si>
    <t>Yang</t>
  </si>
  <si>
    <t>jiaqi.yang@wisc.edu</t>
  </si>
  <si>
    <t>she, her, and hers</t>
  </si>
  <si>
    <t>Department of Forest and Wildlife Ecology</t>
  </si>
  <si>
    <t>Can One AI See Every Tree? A Journey Toward Label-Free Forest Mapping</t>
  </si>
  <si>
    <t>Jiaqi Yang, Ming Liu, Min Chen</t>
  </si>
  <si>
    <t>Effectively managing trees is essential for protecting the environment and maintaining healthy ecosystems. A key step in this process is accurately identifying each tree’s canopy from aerial or satellite images. However, most existing methods need a lot of detailed manual labeling for each new area, which takes time and doesn’t work well in unfamiliar places or under different image conditions. To solve this problem, we introduce UniTree, a new method that can detect individual tree crowns in many different regions and image types—without requiring area-specific manual labeling. UniTree includes three main innovations: it learns how to adapt across different landscapes (domain knowledge transfer), across different image resolutions (resolution knowledge transfer), and it learns to find meaningful tree structures using a smart training strategy. We first tested UniTree in Yosemite National Park, where it outperformed other methods in key accuracy measures—improving some by up to 17% in segmentation quality and 34% in detection accuracy. We also explored how changing image bands, model design, and training settings affects performance. Interestingly, we found that simply using more image details or deeper networks doesn’t always help. UniTree was further tested in completely different regions across the U.S., including areas with dense or sparse tree cover and varied landscapes. The results show that UniTree also works reliably in these new and challenging areas. In summary, UniTree offers a scalable and efficient way to map individual trees from remote sensing data, helping support applications like digital forest inventories, ecological research, and land management in the face of environmental change.</t>
  </si>
  <si>
    <t>74.91.100.154</t>
  </si>
  <si>
    <t>R_62VzXTbFhrJYPMB</t>
  </si>
  <si>
    <t>Quincy</t>
  </si>
  <si>
    <t>Rosemarie</t>
  </si>
  <si>
    <t>rosemarie@wisc.edu</t>
  </si>
  <si>
    <t>McArdle Laboratory for Cancer Research</t>
  </si>
  <si>
    <t>Deploying bioinformatics to explore diffuse large B cell lymphoma &amp; EBV genetics</t>
  </si>
  <si>
    <t>Quincy Rosemarie, Mitch Hayes, Eric Johannsen</t>
  </si>
  <si>
    <t>Diffuse large B-cell lymphoma (DLBCL) is the most common type of aggressive lymphoma. DLBCL is a highly heterogeneous disease, necessitating improvements methods used to classify it into distinct subtypes that can be targeted with specific therapies. Recent advances in defining DLBCL subtypes relied on genetic profiling of tumors, classifying them into six molecular subtypes. Each subtype is characterized by a distinct set of prominent genetic alterations (e.g. mutations, copy number variations, etc.). A notable gap in existing DLBCL classification systems is the lack of consideration for Epstein-Barr virus (EBV) status, even though up to 14% of DLBCL is associated with EBV and EBV is known to provide essential oncogenic functions in lymphomas. To address this knowledge gap, we analyzed published genetic and transcriptomic data of 481 DLBCL biopsy samples, among which we identified 19 EBV-positive tumors. We found that EBV-positive DLBCL is significantly enriched with the BN2 subtype (comprising ~1/3 of EBV-positive DLBCLs). Most of the remaining ~2/3 are unable to be classified into currently defined subtypes. Differential mutation analyses revealed several mutated genes that were found to be absent/depleted in EBV-positive BN2 tumors. These genes include those involved in cell cycle and survival, and two pathways with known oncogenic functions: NFκB and JAK/STAT. This finding supports our hypothesis that EBV-encoded oncogenes can replace the oncogenic functions of mutated cellular genes. Future studies shall delineate specific EBV proteins that can functionally replace these oncogenic cellular mutations. Overall, a subset of EBV-positive DLBCL is enriched within, and likely has a shared pathogenesis with, BN2 DLBCL. The remaining EBV-positive, ‘Unclassified’ DLBCLs may constitute novel subtypes. EBV status correlates with distinct mutation and transcriptomic profiles, including subtype-defining features. Thus, integrating EBV status into the classification of DLBCL is likely to improve tumor subtyping and molecular studies, and resolve the specific role(s) of EBV in DLBCL.</t>
  </si>
  <si>
    <t>216.9.110.8</t>
  </si>
  <si>
    <t>R_3601PMFPkFHisQ9</t>
  </si>
  <si>
    <t>Sacha</t>
  </si>
  <si>
    <t>Jungerman</t>
  </si>
  <si>
    <t>sjungerman@wisc.edu</t>
  </si>
  <si>
    <t>Postdoc</t>
  </si>
  <si>
    <t>CS</t>
  </si>
  <si>
    <t>VisionSIM: Towards a Sensor-Realistic World Simulator</t>
  </si>
  <si>
    <t>Sacha Jungerman, Shantanu Gupta, Mohit Gupta</t>
  </si>
  <si>
    <t>Despite recent advances in semi-automatic data labeling and data-efficient methods, it is becoming increasingly difficult to curate and annotate datasets at the scales required for modern deep learning methods. Besides being logistically challenging and cost-prohibitive to acquire, such large-scale datasets are often designed for very specific applications, limiting their scope. Instead, simulation engines can provide a rich set of ground truth annotations and photorealistic renders for a wide range of scenarios and tasks, while largely mitigating licensing, privacy, and cost concerns. However, most engines focus on accurate physics simulations or fast, distributed renderings, and overlook sensor modeling, leading to discrepancies between the synthetic data and what a real camera would have captured, which is known to affect downstream performance. In this work, we introduce a new modular simulation framework, VisionSIM, which, to our knowledge, is the first that can not only produce rich ground truth annotations but also emulate various sensors ranging from conventional cameras with realistic artifacts to event cameras and single-photon cameras. Using this tool we create a first-of-its-kind dataset containing many useful ground truth primitives such as scene flow, depth, and segmentation for all these sensor types. We release this framework, dataset, and all assets and scripts to further accelerate future research.</t>
  </si>
  <si>
    <t>25</t>
  </si>
  <si>
    <t>192.250.20.2</t>
  </si>
  <si>
    <t>R_3DvCNjnSS1YuSHs</t>
  </si>
  <si>
    <t>Department of radiology University of Wisconsin-Madison</t>
  </si>
  <si>
    <t>PROSPECTIVE EVALUATION OF COMFORTABLE OPEN-COIL MRI FOR WHOLE-BODY PET/MRI</t>
  </si>
  <si>
    <t>Fatemeh Rashidi, MD, James Wang, Bruce Collick, PhD, Alan B. McMillan, PhD, Ali Pirasteh, MD</t>
  </si>
  <si>
    <t>Purpose: Evaluate the potential of whole-body PET/MRI using the scanner’s embedded posterior array (PA) and transmit/receive (TR) in combination. This novel approach (comfortable open coil MRI for whole-body imaging, COMFI) enables a PET/MRI setup/experience (more comfortable than traditional full coil PET/MRI).
Methods: This was a prospective single-center study using a single scanner (Signa PET/MR, GE Healthcare). To assess image quality, Dixon-fat-suppressed T2- and T1-weighted images were obtained on healthy volunteers using COMFI and full coil setups (consecutively) with identical parameters. To assess lesion detectability, patients referred for clinical PET/MRI underwent COMFI PET/MRI shortly after the full coil clinical exam with identical parameters. A dual-board-certified radiologist/nuclear medicine physician reviewed anonymized full coil and COMFI exams independently, blinded, separated by a washout period and in randomized order. To assess image quality (in healthy volunteers), 4 anatomical regions (head/neck, thorax, abdomen/pelvis, and musculoskeletal) were evaluated on each T1- and T2-weighted images using a 5-point Likert scale; scores ≥3 were considered diagnostic. An exam was rated diagnostic if all anatomic regions rated ≥3 on one image series. To assess lesion detectability (in patients), lesions suspicious for malignancy were recorded in the following regions (up to 20 per region): liver, pancreas, bowel, lung, bones, lymph nodes, and other less common regions. Average scores and number of lesions were compared between COMFI and full coil exams using the paired t test; P &amp;lt;0.05 was considered significant. 
Results: Full coil and COMFI setups yielded diagnostic quality exams among all 22 healthy volunteers. Full coil setup yielded higher image quality than COMFI on a per-sequence basis, respective average scores 3.8 and 4.8, P&amp;lt;0.01). Among the 11 patients enrolled, full coil and COMFI PET/MRI respectively detected 113 and 120 lesions (P=0.07). There was no lesion detected on full coil PET/MRI that was missed on COMFI PET/MRI.
Conclusions: Patient setup without anterior surface coils and with hybrid utilization of the embedded PA and T/R coils can provide diagnostic quality PET/MRI exams with potentially no compromise in lesion detectability. COMFI setup may not be suﬃcient for exams that need dedicated high-quality MRI of an anatomic region; further investigation is needed to demonstrate its diagnostic accuracy and potential improvement in patient comfort and access.</t>
  </si>
  <si>
    <t>R_1lnnLUb2hkag3hx</t>
  </si>
  <si>
    <t>Deciphering gene regulatory programs within and across plant species using network-based machine learning tools and single cell omics</t>
  </si>
  <si>
    <t>Chandrani Kumari*, Rafael E. Venado*, Marina Kotvanova*, Prakriti Garg, Saptarshi Pyne, Christopher Dervinis, Wendell J. Pereira, Matias Kirst, Sushmita Roy, Jean-Michel Ané, *Authors contributed equally</t>
  </si>
  <si>
    <t>Some cereals like maize and sorghum fix atmospheric nitrogen using mucilage secreted by root cap border cells, which host nitrogen-fixing bacteria. Despite its importance, the genetic mechanisms governing mucilage production and border cell (BC) development remain poorly understood. To explore the molecular and cellular basis of mucilage production and border cells formation, we employed single-nuclei RNA sequencing (snRNAseq) in three plant species: maize, sorghum, and Medicago truncatula, with Medicago serving as a model for experimental validation. We established an integrated computational pipeline to enable systematic analysis of these single cell omic datasets to define cell types, gene regulatory networks and gene modules within and across cell types. Specifically, using non-negative matrix factorization, we identified 10–15 distinct clusters further annotated using known cellular markers. Cell type validation was performed using in situ hybridization in maize and sorghum, while a promoter-reporter system was applied in M. truncatula. We inferred a cell lineage tree from the clusters using a minimum spanning tree and later refined it based on prior biological knowledge. To infer gene regulatory networks (GRNs) from single-cell expression matrices, we applied two computational methods developed in our lab, MERLIN and scMTNI, independently to each species' dataset. MERLIN (Modular Regulatory Network Learning with Per Gene Information) infers relationships between regulators and target genes by solving a series of regularized regression problems, guided by a modularity prior. scMTNI (single-cell Multi-Task Network Inference) infer cell cluster specific GRN for each cell cluster in the lineage tree. List of key regulators associated with BC clusters, obtained from intersection of these two methods were experimentally validated through RNA interference (RNAi) in M. truncatula. We also performed a multi-species comparative genomics analysis using Arboretum and MRTLE. Arboretum is a computational framework that integrates gene expression data, species phylogenies, and gene family trees to identify modules of co-expressed genes and reconstruct their evolutionary trajectories across three species. Whereas we used MRTLE to infer GRNs for a matched cell type (border cell type) across species. By integrating multi-species snRNAseq analysis, GRN inference, and functional validation, our approach provides key insights into the regulation of mucilage production and BC development. Extending this framework to other plant species will further enhance our understanding of these critical processes in plant biology.</t>
  </si>
  <si>
    <t>144.92.135.74</t>
  </si>
  <si>
    <t>R_3QUUNdUYyuOwxpv</t>
  </si>
  <si>
    <t xml:space="preserve">Safana </t>
  </si>
  <si>
    <t xml:space="preserve">Ismael </t>
  </si>
  <si>
    <t>ismael2@wisc.edu</t>
  </si>
  <si>
    <t xml:space="preserve">Making Theory Visible: Visualizing Cognitive Moves (Steps) to Study Student Reasoning" </t>
  </si>
  <si>
    <t>Safana Ismael</t>
  </si>
  <si>
    <t>Educational research provides powerful theoretical tools to understand how students think—yet these frameworks can be intimidating, especially for researchers new to the field or working across disciplines. Concepts like framing, resource activation, and readout strategies are central to theories of students’ reasoning that have been proposed by Hammer, diSessa, and others, but these theories are abstract and can be difficult to apply practically and consistently in research. I aim to make these core ideas more accessible by creating clear, research-based visual representations of what we know about how students engage in reasoning during problem solving. Translating these complex theoretical concepts developed across multiple studies involves integrating and converting them into visual models that make them more practically useful in research. These visual models will support novice researchers and interdisciplinary collaborators who want to deeply understand theories of student reasoning but find interpreting and using the literature challenging to integrate and apply. These visual tools are not just summaries—they are designed to encourage reflection, foster a shared language, and aid theory-based research design across disciplines as well as new theory building. By connecting theory and practice in this way, more researchers will be able to work with resource-based theoretical frameworks and apply them to a wide range of problems in STEM education research.</t>
  </si>
  <si>
    <t xml:space="preserve">a poster </t>
  </si>
  <si>
    <t xml:space="preserve">Poster board </t>
  </si>
  <si>
    <t>72.33.0.166</t>
  </si>
  <si>
    <t>R_7zbY8tEU8iXMv1C</t>
  </si>
  <si>
    <t>Rachel</t>
  </si>
  <si>
    <t>Salemi</t>
  </si>
  <si>
    <t>rsalemi@wisc.edu</t>
  </si>
  <si>
    <t>They/Them</t>
  </si>
  <si>
    <t>Bacteriology</t>
  </si>
  <si>
    <t>Rachel I Salemi, David M Hershey</t>
  </si>
  <si>
    <t>Predicted C-di-GMP Binding Protein Plays Central Role in Chemotaxis Mediated Adhesion Regulation in Caulobacter crescentus</t>
  </si>
  <si>
    <t>In Caulobacter crescentus, disruption of the flagellum stimulates surface sensing pathways. This increases the production of a polysaccharide adhesin called the holdfast. We previously determined that disruption of the flagellum (fla-) stimulates two distinct surface sensing pathways. Both pathways require a diguanylate cyclase for full activation. pleD controls the developmental pathway linked to the cell cycle and dgcB controls the mechanical pathway linked to the flagellar motor.  Because the function of the motor is intricately connected to chemotaxis signaling, we posited that the key chemotaxis gene, cheYII, may contribute to surface sensing. Interestingly, we found that deletion of cheyII (che-), like fla-, exhibited a hyperadhesion phenotype. We performed epistasis experiments and found that unlike fla- hyperadhesion, contributions of pleD and dgcB to surface sensing are redundant, suggesting that surface signaling through chemotaxis differs from signaling through flagellar disruption. We hypothesized that che- hyperadhesion signaling relies on genes that were not detected in our previous study of fla- hyperadhesion. We performed a forward genetic screen, selecting for transposon mutants that reduced adhesion capabilities in a che- background. This screen led to the discovery of a previously uncharacterized protein that is conserved among Caulobacter species and other alphaproteo-bacteria that shares homology with diguanylatecyclase and phosphodiesterase enzymes. We named this gene Chemotaxis Modulated Repressor A (CmrA). Deletion of cmrA suppresses che- hyperadhesion, but not fla- hyperadhesion. However, further genetic analysis reveals that cmrA is required for adhesion in the absence of motB. Additionally, imaging of a functional fluorescently tagged CmrA-Venus reveals that this protein localizes to the cell pole. This localization pattern is enhanced in che- and ∆motB backgrounds. Overall, this study supports a model in which CmrA is a key regulator in C. crescentus adhesion pathways.</t>
  </si>
  <si>
    <t>I would like to share some of my pottery. I make predominantly functional pieces both wheelthrown and handbuilt. I enjoy creating structural pieces with improvisational twists.</t>
  </si>
  <si>
    <t>A table would be required</t>
  </si>
  <si>
    <t>207.236.204.66</t>
  </si>
  <si>
    <t>R_3t9TjSMfc9xmtef</t>
  </si>
  <si>
    <t>Deling</t>
  </si>
  <si>
    <t>He</t>
  </si>
  <si>
    <t>dhe52@wisc.edu</t>
  </si>
  <si>
    <t>she</t>
  </si>
  <si>
    <t xml:space="preserve">Postdoc </t>
  </si>
  <si>
    <t>Communication Sciences and Disorders</t>
  </si>
  <si>
    <t>Associations Between Self-reported History of Traumatic Brain Injury on Longitudinal Cognitive and Speech Changes Linked to Alzheimer's Disease Risk Factors</t>
  </si>
  <si>
    <t xml:space="preserve"> Deling He, Olivia Goulette, Kristin Basche, Rebecca Langhough, Tobey Betthauser, Bruce Hermann, Sterling C. Johnson, Kimberly Mueller. </t>
  </si>
  <si>
    <t>Background: Both traumatic brain injury (TBI) and Alzheimer’s disease (AD) are global health concerns causing disability and impairing cognitive and communication abilities. Recent studies further proposed history of TBIs can initiate long-term neurodegeneration processes leading to pathological features that have similarities with AD. We aimed to examine how previous history of TBI interacts with AD biomarkers (e.g., amyloid and tau) and genetic risk (e.g., APOE ε4) to impact long-term cognitive-language decline.
Methods: We analyzed longitudinal data from WRAP, a cohort of (baseline) cognitive-unimpaired adults enriched for AD risk due to parental family history. Participants (N=375) had ≥2 visits with cognitive-linguistic assessments, self-reported TBI history (TBI+ = ≥1; TBI− = 0), and most-recent biomarker/genetic data (APOE ε4 status, PET amyloid and tau). On average, TBI+ occurred 27.95 (±16.83) years prior to baseline and 35.92 (±16.62) years before the most recent PET scan. We stratified participants into three biomarker-positive subgroups (APOE carriers, amyloid+, and tau+, respectively). Within each group, we examined whether TBI history predicted steeper longitudinal decline in cognitive-executive and language functioning, using linear-mixed models adjusted for age, sex, and literacy. 
Results: Among amyloid+ individuals (N=123; TBI+=42, TBI−=81), those with TBI+ showed significantly faster longitudinal declines in Words/Min, Fluency Index, and Letter Fluency compared to TBI−. No significant TBI-related effects were found in the APOE carriers (N=149; TBI+=48, TBI−=101) or tau+ group (N=78; TBI+=27, TBI−=51).
Conclusion: A remote history of TBI+ may exacerbate cognitive-language declines (e.g., increased speech disfluency and decreased executive function specific to language), particularly in the presence of AD preclinical amyloid accumulation. Though not a degenerative condition, TBI+ may induce lasting neural disruptions that interact with AD pathology, significantly accelerating decline in language-related cognitive networks over decades. Future studies should explore whether such interactions increase the risk of symptomatic progression (e.g., MCI, dementia) in AD.</t>
  </si>
  <si>
    <t>144.92.108.14</t>
  </si>
  <si>
    <t>R_6pbdbxOHhsDJRa6</t>
  </si>
  <si>
    <t xml:space="preserve">Kelechi </t>
  </si>
  <si>
    <t>Agwu</t>
  </si>
  <si>
    <t>kagwu@wisc.edu</t>
  </si>
  <si>
    <t>Postdoc/Research Associate</t>
  </si>
  <si>
    <t>Biological Systems Engineering/USDA</t>
  </si>
  <si>
    <t>Solvent Recycling during Sustainable BDO Organosolv Delignification of Ponderosa Pine</t>
  </si>
  <si>
    <t xml:space="preserve">Kelechi Agwu, Richard Reiner, Clayton Mickels, Carlos Baez, Troy Runge and Biljana Bujanovic </t>
  </si>
  <si>
    <t>In recent years, the need for implementation of strategies for the effective exploitation and utilization of renewable bioresources has received increased attention due to their renewability, carbon-neutral nature and the inherent challenges associated with chemicals and materials from fossil fuels (finite supply, greenhouse gas emissions, environmental degradation, political instabilities, rising costs). Lignocellulosic biomass (named culled from lignin and holocellulose, the two major components) constitutes one of the most important renewable resources on earth and comprises herbaceous biomass (switch grass, miscanthus), hardwoods (oak, maple, hickory, birch) and softwoods (pine, cedar, spruce, fir) with varying combinations of biochemical constituents (lignin and holocellulose). For effective utilization of lignocellulosic biomass for biofuels and biochemicals, fractionation of the biochemical components must be done. Fractionation targeted at mostly removing the lignin component is termed delignification. Organosolv delignification involves the removal of lignin from biomass using organic solvents. Traditional organosolv delignification utilizes volatile organic solvent with solvent recovery through distillation but poses the challenge of high pressures at temperatures necessary for effective delignification. Alternative high-boiling point solvents like 1,4-butanediol (BDO) have been proposed for delignification, but the inherent challenges of solvent recovery have posed limitations to the adoption by industry. To overcome these challenges, this study investigates membrane-assisted recovery of BDO in organosolv delignification of ponderosa pine residues sourced from forest restoration efforts aimed at reducing wildfire risk in the US Northwest. Nanofiltration and reverse osmosis membranes are evaluated for their effectiveness in recycling BDO, with performance benchmarked against virgin solvent. Key evaluation metrics included degree of delignification, lignin recovery yield, properties of the isolated lignin, pulp yield, and pulp quality. The results provide insights into the feasibility of membrane-integrated organosolv processes for efficient biomass fractionation and recovery of lignin with a relatively preserved native structure, suitable for downstream valorization via depolymerization strategies or in polymer applications.</t>
  </si>
  <si>
    <t>72.33.2.141</t>
  </si>
  <si>
    <t>R_3Jf9qGQ4DeGT6HD</t>
  </si>
  <si>
    <t>Jyoti</t>
  </si>
  <si>
    <t>Lodha</t>
  </si>
  <si>
    <t>jlodha@wisc.edu</t>
  </si>
  <si>
    <t>Department of Integrative Biology</t>
  </si>
  <si>
    <t>R_5ww4XZXWhSB6lLX</t>
  </si>
  <si>
    <t>Warm raised fish fail at hunting due to postural instability</t>
  </si>
  <si>
    <t>Jyoti Lodha, Michael Wu, David Ehrlich</t>
  </si>
  <si>
    <t xml:space="preserve">Fish are under pronounced threat from climate change, particularly as during early life, as larvae of many vulnerable species die off in warmer temperatures. While the cause of early death is unknown, elevated temperatures can accelerate developmental rates and impair skeletal and neuromuscular development. Allometry, or the growth of parts of the body at different rates, can result in changes to bodily proportions. We hypothesize allometry caused by elevated temperatures can disrupt these morphological changes and impair hunting success and balance during early life. 
In this study, zebrafish (Danio rerio) larvae were used for their optical transparency. They were raised at the normal 28C temperature and a higher temperature of 32C until 6 days post-fertilization (dpf). 32C raised larvae were exceedingly front heavy in nature, tipping downwards at night, exhibiting nose-down rotations, and atypical, downwards postures, despite otherwise exhibiting typical swimming features. Due to their front heaviness, they swam more to maintain a horizontal posture compared to 28C raised larvae. The volume of 32C raised larvae was smaller than the 28C larvae, but their length was greater after 9dpf. The notochord and tail width of the 28C and 32C groups was similar at 6dpf. 32C larvae also consumed their yolk faster than 28C larvae, using it all up by 5dpf. 
Hunting is a crucial and learned behavior zebrafish exhibit starting at 5dpf. 32C larvae were worse at hunting, making fewer attempts at initiating hunts and failing to catch their prey at a greater rate than their 28C counterparts when they did attempt to hunt paramecia at 6dpf. Strikingly, biomechanical rescue experiments to counteract front-heaviness improved hunting success in the 32C larvae. Taken together, understanding the impact of thermal stress on zebrafish ecology through predatory behavior and development will provide insight into the vulnerability of aquatic ectothermic species to climate change. </t>
  </si>
  <si>
    <t>128.104.192.193</t>
  </si>
  <si>
    <t>R_67JyLfYY8VhEFG6</t>
  </si>
  <si>
    <t>Pratap</t>
  </si>
  <si>
    <t>Pal</t>
  </si>
  <si>
    <t>ppal3@wisc.edu</t>
  </si>
  <si>
    <t>Materials Science and Engineering</t>
  </si>
  <si>
    <t>Symmetry-Engineered Quantum Magnet for Advanced Electronic Applications</t>
  </si>
  <si>
    <t>Pratap Pal, J. L. Schad, A. M. Vibhakar, S. K. Ojha, S. Hussain, G-Y. Kim, S. Shenoy, M. S. Rzchowski, A. Bombardi, R. D. Johnson, S-Y Choi, L-Q Chen, R. Ramesh, P. G. Radaelli, and C-B Eom</t>
  </si>
  <si>
    <t>There is a growing need for multifunctional electronic devices that operate faster and consume less energy. To address this challenge, scientists are investigating new 'quantum materials' capable of performing multiple functions simultaneously. One of the most promising candidates is bismuth ferrite (BiFeO3), a material that uniquely couples electric and magnetic properties—an exceptionally rare combination in a single material.
In BiFeO3, the bismuth atoms help create electric switching that requires little power, while the iron atoms form magnetic switching that can store and transfer information. This makes it an exciting option for building next-generation electronics that are both faster and more energy-efficient.
However, using BiFeO3 in real devices is not easy. Inside the material, there are many tiny areas, called domains, with different electric and magnetic behaviors. These make it hard to control or write information consistently. To make the material more useful, scientists need to create a cleaner, more uniform structure with just one type of domain.
We have developed extremely thin films of BiFeO3 with all atoms lined up in one direction. We achieved this using an advanced thin film deposition technique called magnetron sputtering. With this precise crystal design, we created a single, well-organized magnetic pattern—known as a spin cycloid—that can be switched simply by applying an electric field.
We used advanced imaging tools like scanning NV magnetometry and X-ray magnetic diffraction to visualize these patterns both at the surface and deep inside the material. Remarkably, we could switch the magnetic state using only an electric field. Even better, this magnetic pattern carries information using far less energy than most other materials.
This approach brings us one step closer to building faster, more efficient electronic devices that use less power and generate less heat.
This work has been done in collaboration with the University of Oxford, UK, Rice University, USA, University of California, Berkeley, USA, Pohang University of Science and Technology, Pohang, Republic of Korea, University College London, UK,  and the Pennsylvania State University, USA.</t>
  </si>
  <si>
    <t>198.27.63.106</t>
  </si>
  <si>
    <t>R_1uVyU2ko28eY62n</t>
  </si>
  <si>
    <t>Mokshda</t>
  </si>
  <si>
    <t>Kaul</t>
  </si>
  <si>
    <t>mkaul7@wisc.edu</t>
  </si>
  <si>
    <t>Nelson Institute for Environmental Studies</t>
  </si>
  <si>
    <t>Advancing Justice and Equity Through Inclusive Energy Policies</t>
  </si>
  <si>
    <t>Mokshda Kaul</t>
  </si>
  <si>
    <t xml:space="preserve">The clean energy transition is more than just a means for climate change mitigation. It represents an opportunity to transform energy systems while contributing to a more just and equitable world. However, current approaches to energy transition that only view it as a climate solution overlook its unintended negative consequences. Both benefits and costs are often inequitably distributed, creating societal and environmental consequences that remain unaddressed by conventional energy policy. Although existing research extensively documents these unintended consequences of energy transition, a significant gap persists in evaluating the effectiveness of proposed solutions and how energy policy has addressed justice in the energy transition. My research fills this gap by evaluating energy policy that address these issues to understand how energy policies can incorporate justice and equity concerns to drive inclusive and effective energy transitions. In this talk, I will discuss findings from my research on intersections between justice and energy transitions in the U.S. These include a comparative case study of Illinois and New York where I examine the development of inclusive energy policy representing both environmental justice and labor interests, an evaluation of a policy incentivizing residential solar adoption among low/middle-income households and an analysis of EV consumers' perceptions of policies that address negative implications of critical mineral mining. Through findings from these studies my talk will provide a nuanced understanding of how energy policy translates justice in energy transitions and also provide insights for how energy policy interventions can advance inclusive energy transitions that include historically excluded groups. </t>
  </si>
  <si>
    <t>144.92.154.83</t>
  </si>
  <si>
    <t>R_3oSMcvv3vYNmDs2</t>
  </si>
  <si>
    <t>Michael</t>
  </si>
  <si>
    <t>Berube</t>
  </si>
  <si>
    <t>berube2@wisc.edu</t>
  </si>
  <si>
    <t>OBGYN</t>
  </si>
  <si>
    <t>Atovaquone’s Second Act: Targeting Ovarian Cancer with an Old Anti-Malarial Drug</t>
  </si>
  <si>
    <t>Michael Berube, Nicha Boonpattrawong, Rob Schultz, Arvinder Kapur, Mayra Betancourt Ponce, Manish Patankar, Maria Virumbrales-Munoz, and Lisa Barroilhet</t>
  </si>
  <si>
    <t xml:space="preserve">Ovarian cancer is one of the most dangerous cancers affecting women, partly because it is often found at a late stage and can quickly become resistant to treatment. New ways to attack this cancer are urgently needed. Atovaquone is a medicine that has been safely used for many years to prevent and treat malaria. Recently, researchers have discovered that it might also help fight cancer by cutting off one of the ways cancer cells make energy to grow and survive.
Atovaquone works by blocking part of the mitochondria, the “powerhouse” inside cells that turns fuel into energy. When the mitochondria are shut down, cancer cells lose an important energy source, and increase oxidative stress in the cell, which can slow down their growth and even kill them. 
In our study, we found that atovaquone increases oxidative stress and cell death in ovarian cancer cells in the lab. To test its effect in living systems, we treated mice with ovarian tumors using either a control or an atovaquone-supplemented diet. Tumor growth was significantly reduced in the atovaquone group during a short treatment period. We are now using a BPRN transgenic mouse model that closely resembles human ovarian cancer to better understand how atovaquone may not only slow tumor growth but also influence the tumor’s environment and the body’s immune response.
Repurposing an existing drug like atovaquone means we can move more quickly and safely toward new treatments for patients, since this drug is already approved and its side effects are well known. Our goal is to find out if blocking the cancer’s energy supply can improve survival and work well alongside other treatments. This research could open the door to safer and more effective options for women fighting ovarian cancer.
</t>
  </si>
  <si>
    <t>72.33.0.231</t>
  </si>
  <si>
    <t>R_5qUrDd6PTnl6Ogk</t>
  </si>
  <si>
    <t>Andrew</t>
  </si>
  <si>
    <t>Miller</t>
  </si>
  <si>
    <t>ahmiller2@wisc.edu</t>
  </si>
  <si>
    <t>Retinal circuit specializations for encoding high-resolution vision</t>
  </si>
  <si>
    <t>Andrew H. Miller and Raunak Sinha</t>
  </si>
  <si>
    <t>Degenerative eye diseases, like macular degeneration or retinitis pigmentosa, cause progressive vision loss. In such cases, one approach to restore vision is to bypass the damaged sensory circuits in the eye with electrical implants. These implants convert light collected by a camera into an electrical code which is then used to stimulate neurons downstream of the damaged circuits in the eye. Unfortunately, retinal prostheses have not been widely adopted. One reason is they currently lack the resolution and processing capability to restore the high-resolution, central vision needed for many daily activities. Matching the electrical code of retinal prostheses to the natural electrical code of the eye may improve patient outcomes. Improvements will rely on our knowledge of circuit signaling in the retina. In particular, how central retinal circuits encode signals for high-resolution vision is largely unknown. Therefore, we tested the sensitivity and speed of electrical signaling in non-human primate retina, comparing both central and peripheral regions of the eye. We targeted retinal ganglion cells in ex vivo retinal preparations using single-cell electrophysiology to measure light-evoked electrical responses to contrast across a range of background light levels. Analysis of light sensitivity showed that peripheral ganglion cells regulate sensitivity at lower background light levels compared to central ganglion cells. Across pathways and regions, higher circuit convergence correlated with greater changes in sensitivity, suggesting that circuit mechanisms for adjusting sensitivity across light levels could depend on the amount of input received in parallel retinal pathways. Therefore, designing visual processing transformations for retinal prostheses needs to be informed by regional circuit specializations to better imitate natural central and peripheral vision.</t>
  </si>
  <si>
    <t>72.33.2.32</t>
  </si>
  <si>
    <t>R_5CIhpO5XrNcksyu</t>
  </si>
  <si>
    <t>She/her</t>
  </si>
  <si>
    <t>Volunteer Exercise Reverses Hematopoietic Aging through Epigenetic Regulation</t>
  </si>
  <si>
    <t>Gayatri Puri and Roméo S Blanc</t>
  </si>
  <si>
    <t>Aging profoundly alters hematopoietic and immune homeostasis, leading to a progressive loss of balanced hematopoiesis, increased systemic inflammation (“inflammaging”), and diminished regenerative capacity. These changes are characterized by the expansion of dysfunctional hematopoietic stem and progenitor populations, increased myeloid bias, and impaired lymphoid output. Exercise has emerged as a potent systemic modulator capable of mitigating several hallmarks of aging, including chronic inflammation and immune dysfunction. Although the benefits of exercise in reducing immunosenescence are increasingly appreciated, its direct impact on the regenerative capacity of hematopoietic populations particularly through epigenetic mechanisms remains poorly understood. Accordingly, we subjected aged (23mo) male and female mice to a 4-week voluntary wheel running (VWR) regimen. Despite running less than adult counterparts, aged mice exhibited marked hematopoietic improvements. Importantly, exercise significantly decreased the frequency of LT-HSC, often expanded in aged mice. Additionally, MPP4 cells, critical for lymphoid lineage differentiation was substantially restored along with partial reduction of myeloid-biased LT-HSC (CD41high), a marker hematopoietic aging, reverting toward youthful HSC profile levels. Notably, LT-HSC rejuvenation coincided with epigenetic changes, highlighting a direct link between exercise activity and stem cell regulation at the chromatin level. We next wondered whether the bone marrow microenvironment contributed to the observed hematopoietic rejuvenation. Analysis of bone lysates revealed enhanced osteogenic potential and shifts in cytokine profiles, consistent with a more youthful and supportive niche. Together, our preliminary findings represent a promising non-pharmacological intervention to rejuvenate the aged bone marrow and enhance systemic regenerative capacity. However, further studies are required to examine the presence of epigenetic and molecular changes in HSC’s using cut &amp; tag and single cell sequencing.</t>
  </si>
  <si>
    <t>172.59.96.247</t>
  </si>
  <si>
    <t>R_18MXWu1T0ydzbmL</t>
  </si>
  <si>
    <t>Randy</t>
  </si>
  <si>
    <t>Lee</t>
  </si>
  <si>
    <t>randylee623@gmail.com</t>
  </si>
  <si>
    <t>Department of Psychology</t>
  </si>
  <si>
    <t>Grateful People Are More Likely to Engage in Costly Prosocial Action</t>
  </si>
  <si>
    <t xml:space="preserve">Randy T. Lee, Kirstan Brodie, Jerry Richardson, and Tom Gilovich </t>
  </si>
  <si>
    <t>Gratitude is not without its critics. Some have argued that it encourages system justification, thereby discouraging efforts to challenge the status quo. Although gratitude has been shown to promote prosocial behavior, most studies have focused on actions with relatively minor costs. Gratitude's impact on costly prosocial actions aimed at advancing the greater good remains underexplored. To address this gap, we analyzed data from a U.S. nationally representative sample (Study 1; N = 2,016), and a longitudinal study of nationally representative samples across 22 countries (Study 2; N = 207,919 ; see Figure 1). We also conducted a field study, surveying people at blood drives and flu shot clinics (Study 3; N = 396), and three experiments that manipulated feelings of gratitude (Studies 4a–4c; N = 644)—one online U.S. Prolific sample, and two U.S. college student samples (4b) and in-person (4c). We found robust evidence that dispositionally more grateful people are more likely to engage in costly prosocial actions. Manipulated state gratitude, however, did not have the same effect, although those who scored higher on trait gratitude in the three experiments examining the effect of both trait and state gratitude reported greater willingness to engage in costly prosocial actions. Together, our findings challenge claims that gratitude reinforces the status quo and undermines efforts to bring about societal change. Instead, we show that more grateful people are more likely to take on the hard, costly work of advancing the greater good.</t>
  </si>
  <si>
    <t>24.240.32.87</t>
  </si>
  <si>
    <t>R_5oN44m3U9BlapTf</t>
  </si>
  <si>
    <t>Pyschology</t>
  </si>
  <si>
    <t xml:space="preserve">Can video games be good for your brain? </t>
  </si>
  <si>
    <t>Freya Joessel, Daphne Bavelier, C. Shawn Green</t>
  </si>
  <si>
    <t xml:space="preserve">Over the last 25 years, a growing body of research has demonstrated that some video games (called action games) improve performance on a wide array of cognitive tasks. While it is not unusual that repeated practice on a task will improve performance on that task, the effects of action video games on cognition are striking because their benefits transfer to many unrelated tasks. Understanding what makes action video games special in that regard has both theoretical and practical implications for the design of cognitive training interventions.
After reviewing which games tended to consistently lead to improvements and which ones didn’t, I hypothesized that it is a specific set of game-design features that are at the source of action games’ cognitive effects: (1) fast pacing, (2) high variability favoring generalization, (3) a high load on divided attention, and (4)  a high need to flexibility switch between focused and divided attention.
To test this hypothesis, I analyzed the performance on a working memory task of habitual players of action games, action-like games (i.e. games expressing these features but to a lesser extent than action games), non-action games (i.e. games that do not express these features), and people who don’t play video games at all. We observed that participants playing games with more action features had better working memory than participants who played games with less such features, and these were better than non-gamers. 
I will also discuss how this research provides crucial pointers to design effective cognitive training interventions for impact, for example to alleviate the negative effects in everyday life of cognitive decline with age, or when trying to go beyond typical human capabilities for athletes or fighter jet pilots.
</t>
  </si>
  <si>
    <t>71.82.235.152</t>
  </si>
  <si>
    <t>R_616mbR3OdXpPbgK</t>
  </si>
  <si>
    <t>Josee</t>
  </si>
  <si>
    <t>Maurais</t>
  </si>
  <si>
    <t>jmaurais@wisc.edu</t>
  </si>
  <si>
    <t>Seeing the Unseen: Spectroscopy of Toxic Peptide Intermediates that Cause Diabetes</t>
  </si>
  <si>
    <t>Josée Maurais, Martin Zanni</t>
  </si>
  <si>
    <t xml:space="preserve">The aggregation of human islet amyloid polypeptide (hIAPP) in the pancreas leads to the formation of amyloid plaques, a hallmark of type 2 diabetes. Before these plaques become visible, hIAPP forms toxic oligomers, which are small, transient clusters of peptides. These oligomers are particularly harmful to insulin-producing β-cells, disrupting their membranes and triggering cellular stress, ultimately contributing to the progression of the disease. [1] Despite their central role in β-cell dysfunction, these toxic intermediates remain poorly understood, primarily due to their short lifetimes and low abundance. Capturing and characterizing them is therefore a key step toward developing new therapeutic strategies to prevent or delay disease onset.
To address this challenge, we have developed an immunosensor platform that uses hIAPP-specific antibodies immobilized on a gold-coated surface to selectively capture toxic oligomers from solution. Coupled with two-dimensional infrared (2D IR) spectroscopy, this setup allows us to obtain the vibrational signatures of the captured species and distinguish oligomers from monomers or fibrils based on their secondary structure. The platform has been successfully implemented using a human polyclonal antibody [2], enabling us to isolate and spectroscopically characterize hIAPP species from solution. We are currently extending this approach using the human monoclonal antibody α-IAPP-O, developed by Wirth et al., which specifically binds the toxic oligomeric form of hIAPP [3]. This addition aims to enhance the selectivity of the sensor and allow direct structural analysis of the most pathogenic intermediates.
By enabling the direct study of these aggregation-prone intermediates, our approach opens new possibilities for understanding the molecular mechanisms behind hIAPP toxicity. This knowledge is essential for designing interventions that target the early stages of amyloid formation, with the goal of protecting pancreatic β-cells and slowing the development of type 2 diabetes.
[1] Haataja, L.; Gurlo, T.; Huang, C. J.; Butler, P. C. Endocr. Rev. 2008, 29 (3), 303-316.
[2] Ostrander JS, McMahon Z, Ramamoorthy A, Zanni MT. J. Phys. Chem. Lett. 2019, 10, 5484–5489.
[3] Wirth F. et al. J. Nat. Commun. 2023, 14, 6294.
</t>
  </si>
  <si>
    <t>35.148.71.168</t>
  </si>
  <si>
    <t>R_6VOH3ZFu65FeUb7</t>
  </si>
  <si>
    <t>Nico</t>
  </si>
  <si>
    <t>Crocetti</t>
  </si>
  <si>
    <t>jcrocetti@wisc.edu</t>
  </si>
  <si>
    <t>they/them</t>
  </si>
  <si>
    <t>Legal Research Fellow</t>
  </si>
  <si>
    <t>Great Lakes Indigenous Law Center, University of Wisocnsin Law School</t>
  </si>
  <si>
    <t>144.92.239.38</t>
  </si>
  <si>
    <t>R_3gNR1hcUg25xmc4</t>
  </si>
  <si>
    <t>Timothy</t>
  </si>
  <si>
    <t>Wakiyama</t>
  </si>
  <si>
    <t>wakiyama@wisc.edu</t>
  </si>
  <si>
    <t>He/Him</t>
  </si>
  <si>
    <t xml:space="preserve"> Research Associate</t>
  </si>
  <si>
    <t>Biomedical Engineering</t>
  </si>
  <si>
    <t>152.20.103.254</t>
  </si>
  <si>
    <t>R_5zXTL8gEYdFOFCR</t>
  </si>
  <si>
    <t>testing</t>
  </si>
  <si>
    <t>saleminkharr@wisc.edu</t>
  </si>
  <si>
    <t>144.92.135.66</t>
  </si>
  <si>
    <t>R_7N4B3XRBIx5yYDp</t>
  </si>
  <si>
    <t>128.104.1.33</t>
  </si>
  <si>
    <t>R_5qwaiHm2r5MY80S</t>
  </si>
  <si>
    <t>zinnat</t>
  </si>
  <si>
    <t>shahina</t>
  </si>
  <si>
    <t>shahina@wisc.edu</t>
  </si>
  <si>
    <t>post-doctoral fellow</t>
  </si>
  <si>
    <t>Genetics</t>
  </si>
  <si>
    <t>31</t>
  </si>
  <si>
    <t>R_6i7PFd2AAEy0Trb</t>
  </si>
  <si>
    <t>Jie</t>
  </si>
  <si>
    <t>Cai</t>
  </si>
  <si>
    <t>jcai96@wisc.edu</t>
  </si>
  <si>
    <t>The department of otolaryngology-head and neck surgery</t>
  </si>
  <si>
    <t>Jie Cai, Susan Thibeault</t>
  </si>
  <si>
    <t>Exploring the Anti-Fibrotic Effects of Metformin on Vocal Fold Scar</t>
  </si>
  <si>
    <t>Objective: This study aims to investigate the inhibitory effects of metformin on vocal fold scarring Methods:  A vocal fold scarring model was established in New Zealand rabbits by injuring the epithelium and lamina propria of vocal fold. Fibrosis was also induced in rabbit vocal fold fibroblasts using TGF-β1. Hematoxylin and eosin(H&amp;E) staining, Masson’s trichrome staining, and immunofluorescence were performed to assess fibrotic changes in vocal fold tissue. Quantitative PCR (qPCR) and Western blotting were used to analyze the expression of fibrosis-related genes and proteins fibroblast. Atomic force microscope (AFM) was used to detect the biomechanical properties of vocal fold fibroblasts.  Results:  H&amp;E, Masson staining, and immunofluorescence revealed that metformin significantly reduced fibrosis in the vocal fold. qPCR and Western blot analyses showed that metformin significantly downregulated the expression of fibrosis-related markers, including COL1A1 and α-SMA, in both scarred vocal fold tissue and TGF-β1-induced fibrotic fibroblasts. Furthermore, AFM analysis demonstrated that metformin decreased the stiffness of fibrotic vocal fold.  Conclusion: Metformin significantly attenuates vocal fold fibrosis in vivo and inhibits TGF-β1-induced fibrotic changes and mechanical stiffness in vocal fold fibroblasts in vitro. These findings highlight metformin’s potential as a therapeutic agent for the treatment of vocal fold scarring.   Keywords: Vocal fold scar; Metformin; Fibrosis; Atomic force microscope</t>
  </si>
  <si>
    <t>Poster</t>
  </si>
  <si>
    <t>I need a poster boards to hang up. Thanks!</t>
  </si>
  <si>
    <t>R_3w5DL2FzuJykT2k</t>
  </si>
  <si>
    <t xml:space="preserve">Purpose: Evaluate the potential of whole-body PET/MRI using the scanner’s embedded posterior array (PA) and transmit/receive (TR) in combination. This novel approach (comfortable open coil MRI for whole-body imaging, COMFI) enables a PET/MRI setup/experience (more comfortable than traditional full coil PET/MRI).
Methods: This was a prospective single-center study using a single scanner (Signa PET/MR, GE Healthcare). To assess image quality, Dixon-fat-suppressed T2- and T1-weighted images were obtained on healthy volunteers using COMFI and full coil setups (consecutively) with identical parameters. To assess lesion detectability, patients referred for clinical PET/MRI underwent COMFI PET/MRI shortly after the full coil clinical exam with identical parameters. A dual-board-certified radiologist/nuclear medicine physician reviewed anonymized full coil and COMFI exams independently, blinded, separated by a washout period and in randomized order. To assess image quality (in healthy volunteers), 4 anatomical regions (head/neck, thorax, abdomen/pelvis, and musculoskeletal) were evaluated on each T1- and T2-weighted images using a 5-point Likert scale; scores ≥3 were considered diagnostic. An exam was rated diagnostic if all anatomic regions rated ≥3 on one image series. To assess lesion detectability (in patients), lesions suspicious for malignancy were recorded in the following regions (up to 20 per region): liver, pancreas, bowel, lung, bones, lymph nodes, and other less common regions (Figure). Average scores and number of lesions were compared between COMFI and full coil exams using the paired t test; P &amp;lt;0.05 was considered significant. 
Results: Full coil and COMFI setups yielded diagnostic quality exams among all 22 healthy volunteers. Full coil setup yielded higher image quality than COMFI on a per-sequence basis, respective average scores 3.8 and 4.8, P&amp;lt;0.01). Among the 11 patients enrolled, full coil and COMFI PET/MRI respectively detected 113 and 120 lesions (P=0.07). There was no lesion detected on full coil PET/MRI that was missed on COMFI PET/MRI.
Conclusions: Patient setup without anterior surface coils and with hybrid utilization of the embedded PA and T/R coils can provide diagnostic quality PET/MRI exams with potentially no compromise in lesion detectability. COMFI setup may not be suﬃcient for exams that need dedicated high-quality MRI of an anatomic region; further investigation is needed to demonstrate its diagnostic accuracy and potential improvement in patient comfort and access.
</t>
  </si>
  <si>
    <t>152.133.8.198</t>
  </si>
  <si>
    <t>R_1yaaaLqMMvGzE44</t>
  </si>
  <si>
    <t>Sarah</t>
  </si>
  <si>
    <t>Punshon</t>
  </si>
  <si>
    <t>punshon@wisc.edu</t>
  </si>
  <si>
    <t>Advanced Fellow in Geriatrics, Affiliate Faculty</t>
  </si>
  <si>
    <t>50.93.220.1</t>
  </si>
  <si>
    <t>R_7wS6JqSqFURW7m3</t>
  </si>
  <si>
    <t>test</t>
  </si>
  <si>
    <t>144.92.135.69</t>
  </si>
  <si>
    <t>R_6eh8CfOYcpkOdbw</t>
  </si>
  <si>
    <t>Bhb</t>
  </si>
  <si>
    <t>Hhh</t>
  </si>
  <si>
    <t>Hhh@gmail.com</t>
  </si>
  <si>
    <t>Hhg</t>
  </si>
  <si>
    <t>26</t>
  </si>
  <si>
    <t>R_6rTG8SuphW74FW6</t>
  </si>
  <si>
    <t>Deling He, Rebecca E Langhough, Erin Jonaitis, Rachael Wilson, Bruce Hermann, Sterling Johnson, Kimberly Mueller</t>
  </si>
  <si>
    <t>Enhanced Sensitivity to Elevated Plasma p-Tau 217 with Proper Name Delayed Recall in the Preclinical Alzheimer's Cognitive Composite</t>
  </si>
  <si>
    <t xml:space="preserve">A pivotal debate in Alzheimer’s disease (AD) concerns the shift toward a biomarker-based diagnostic framework, making it imperative to identify early functional signs that are clinically meaningful and biologically sensitive. Given that language deficits are among the earliest manifestations of AD, we modified the Preclinical Alzheimer’s Cognitive Composite (PACC) to address this need by incorporating delayed recall of proper names (unique names of people and places). We analyzed 824 dementia-free participants (mean age ≈ 62 at baseline) from WRAP cohort, stratifying them by plasma p-tau217 levels (using established cutoffs: negative [&amp;lt;0.4 pg/mL; N=539], intermediate [0.4–0.63 pg/mL; N=163], positive [&amp;gt;0.63 pg/mL; N=122]). We constructed six PACC variants: (1) traditional PACC4 (Rey AVLT immediate learning, Logical Memory II [LM II], Digit Symbol, Mini-Mental State Examination [MMSE]); (2) PACC3 (excluding MMSE to mitigate ceiling effects); (3–4) PACC4_PN and PACC3_PN, replacing LM II’s total score with proper-name recall; and (5–6) PACC4+VF and PACC3+VF, adding animal fluency. Cognitive composites were calculated as equally weighed sum of component z-scores. We compared PACC variants` sensitivity (i.e., longitudinal decline rates) associated with plasma p-tau217, using linear mixed models adjusted for age, gender, literacy, and practice (total visits minus one). We showed individuals with positive plasma p-tau217 status exhibited significantly faster cognitive decline across all PACCs. Notably, the proper name enhanced-PACC, especially the parsimonious PACC3_PN, demonstrated the steepest decline—6.4%–19% faster than the traditional and animal fluency-appended versions. Our optimized measure offers critical advantages in clinical utility: an 82% reduction in scoring burden for clinicians (9-point proper names vs. 50-point total LM score), finer semantic memory granularity, and enhanced sensitivity to AD biomarkers. Our findings position proper name-enhanced PACC as a clinically practical and optimal tool for tracking longitudinal cognitive trajectories, highlighting proper names delayed recall as a sensitive marker for AD pathology. </t>
  </si>
  <si>
    <t>04</t>
  </si>
  <si>
    <t>72.33.2.152</t>
  </si>
  <si>
    <t>R_7pxJcsEr8x4pmeQ</t>
  </si>
  <si>
    <t>Meher Gayatri</t>
  </si>
  <si>
    <t>Bolisetti</t>
  </si>
  <si>
    <t>bolisetti@wisc.edu</t>
  </si>
  <si>
    <t>Research assosicate</t>
  </si>
  <si>
    <t>school of medicine and public health</t>
  </si>
  <si>
    <t xml:space="preserve"> Meher B. Gayatri1, Anthony Veltri2, Jacqueline Cook1, Bei Jia3, Li Jing1, Maoshuo Yang4, Vysakh Anandan1, Kenneth M. Chan1, Jiangchen Yao1, Sarah Granozio1, Yun Jiang1, Esra’a Keewan1, Erik A. Ranheim5,6, Xiaolan Zhu4, Kalyan V.G. Nadiminti5,7, Suresh Marulasiddappa8, Hong Zheng 3, Xiaona you1,4*, and Jing Zhang1,5*</t>
  </si>
  <si>
    <t xml:space="preserve"> Combined inhibition of MEK and HDACs improves the cytotoxicity of CD4 and CD8 T cells in NRAS;ASXL1-driven acute myeloid leukemia mice.</t>
  </si>
  <si>
    <t>Acute myeloid leukemia (AML) is a heterogeneous malignant blood cancer that occurs mainly in the elderly.  Its treatment outcome is greatly influenced by leukemia-driving mutations and T cell phenotypes at the time of diagnosis. Oncogenic NRAS mutations are associated with both AML progression and multi-drug resistance and treatment failure in AML. We have previously developed a NRAS; ASXL1-driven secondary AML (NA-AML) mouse model, which is characterized by a suppressive immune microenvironment resulting in reduced leukemia killing activities of T cells. Targeting hyperactive RAS/MEK signaling via trametinib (Tra, a MEK inhibitor) attenuates the exhaustion of CD8 T cells and prolongs the survival of NA-AML mice. To further boost the efficacy of Tra, we performed a re-purpose screen of ~2,500 drugs, either approved by FDA for treating various human diseases or currently under clinical evaluation, in the absence or presence of Tra. We identified that quisinostat (Qui), a 2nd generation of HDAC inhibitor, potently inhibited the growth of both mouse and human NA leukemia cells and significantly synergized with Tra in vitro. In addition, combined Tra and Qui (TQ) downregulated AP-1 transcription factors and expression of immune checkpoint ligands (PD-L1/L2, CD80, and CD86) while upregulated expression of MHC I/II in mouse NA-AML cells.   We further validated our results in NA-AML mice. Vehicle (Veh) -treated mice rapidly succumbed to AML and died within 4-5 weeks post-treatment. Tra alone and Qui alone slowed down AML progression and prolonged the survival of leukemia mice, while all TQ-treated mice remained alive ~22 weeks post-treatment. Surprisingly, TQ only provided moderate survival benefits in immunodeficient NSG mice engrafted with NA-AML cells, suggesting an important role of cytotoxic T cells in TQ-mediated AML alleviation. We then analyzed CD4 and CD8 T cells from moribund vehicle-treated mice and age-matched drug-treated mice. TQ decreased the exhaustion of CD4 and CD8 T cells and expanded the activated effector/memory T (Tem) cells. Single-cell RNA-Seq analysis showed increased expression of gene signatures associated with cytotoxicity of Tem cells, including CXCR3 and CXCR5. Consistent with these findings, leukemia: T cell co-culture experiments demonstrated significantly enhanced cytotoxicity of TQ-treated CD4 and CD8 T cells, which appeared to be mediated by increased expression of MHC I and II in AML cells. We are currently pursuing the underlying molecular mechanisms. Our data provide a strong rationale to develop immunotherapies via epigenetic modulation of both leukemia and leukemia-associated T cells.</t>
  </si>
  <si>
    <t>R_1MyrzsndRhi0Hyg</t>
  </si>
  <si>
    <t>sarah.punshon@va.gov</t>
  </si>
  <si>
    <t>Advanced Fellow in Geriatrics, Occupational Therapist</t>
  </si>
  <si>
    <t>Sarah Punshon, CScD, OTR/L, Hannah Ketterhagen, MS, CTRS, Emily Trittschuh, PhD</t>
  </si>
  <si>
    <t>Healthy Aging Project-Brain: Personalized Paths to Enhanced Cognitive Health in Older Adults</t>
  </si>
  <si>
    <t xml:space="preserve">Background: There is an increased demand for information on how to support brain health in aging. Research has identified a number of healthy lifestyle behaviors and treatable health conditions that are supportive – and might help prevent cognitive decline. Translating these research study findings into actionable behavioral change for the layperson is important. Healthy Aging Project-Brain, Rehabilitation (HAP-B Rehab) is an adaptation of the original evidence-based Healthy Aging Project-Brain (HAP-B) group facilitated by a rehabilitation professional that is designed to promote healthy lifestyle behaviors for older persons in subacute rehab, residential and/or other inpatient settings.  Methods: HAP-B Rehab was created using the 5-stage group model originally developed by Mildred Ross, OTR. This model was chosen intentionally as activities are sequenced to elicit an organized behavioral response that facilitates learning. Activities for this specific group were selected because they can be tailored in the moment to varying levels of cognitive and physical abilities based on each unique set of group members. This style of group is more inclusive of the varied physical and cognitive abilities of older adults typically treated in subacute rehab, residential, and/or other inpatient settings. Outcomes measured are focused on improving perceived self-efficacy, and include the Perceived Health Competence Scale-2 and the PROMIS 10. The initial pilot of this group is currently in process at the Madison VA Community Living Center and is focused on older adults in subacute rehab.  Results: We will report on our approach to adapting the original HAP-B to develop HAP-B Rehab. We will share outcome measure data from the pilot to date.  Conclusion: Promoting actionable lifestyle behavior change for older adults that is grounded in the evidence requires a tailored approach that meets older adults where they are and can be individualized based on their skills and abilities. HAP-B Rehab is designed to meet this need and allow older adults to practice their personal behavior change goals in a supported environment. </t>
  </si>
  <si>
    <t>144.92.232.53</t>
  </si>
  <si>
    <t>R_3cGzr4BX38O8HjH</t>
  </si>
  <si>
    <t>Masoumeh</t>
  </si>
  <si>
    <t>Hosseini</t>
  </si>
  <si>
    <t>mhosseini3@wisc.edu</t>
  </si>
  <si>
    <t>Post-doctoral fellow</t>
  </si>
  <si>
    <t>Department of Neuroscience</t>
  </si>
  <si>
    <t>01</t>
  </si>
  <si>
    <t>72.33.2.85</t>
  </si>
  <si>
    <t>R_3PBtid2ToGbNE7T</t>
  </si>
  <si>
    <t>Elizabeth</t>
  </si>
  <si>
    <t>Shaver</t>
  </si>
  <si>
    <t>eshaver2@wisc.edu</t>
  </si>
  <si>
    <t>Postdoctoral Research Association</t>
  </si>
  <si>
    <t>Wisconsin Center for Education Research</t>
  </si>
  <si>
    <t>Elizabeth L. Shaver, Frederique Corcoran, Amanda L. Sullivan, &amp; Rebecca J. Shlafer</t>
  </si>
  <si>
    <t>Parental Incarceration and School Psychology: A National Survey of Faculty Members</t>
  </si>
  <si>
    <t>Approximately one in 14 children and youth in the United States have had a parent incarcerated at some point in their lifetime. Children with incarcerated parents are at increased risk compared to their peers for poor physical and mental health, academic, social, and behavioral outcomes both in childhood and in adulthood. As primary providers of mental and behavioral health services in schools, school psychologists are positioned to provide support to students with incarcerated parents in the school setting and leverage school-based protective factors. However, meeting this aim requires the proper knowledge and training to do so. The primary goals of this study were to (a) evaluate the state of school psychology curriculum and training practices regarding mass incarceration and parental incarceration; and (b) assess school psychology faculty members’ knowledge, attitudes, and preparation related to the topic of parental incarceration. A total of 173 faculty members (15% of the sampling frame) actively involved in program operations at accredited and approved school psychology graduate programs completed a survey. Results indicated that half of the survey participants included either or both mass incarceration and parental incarceration in their courses. Additionally, school psychology faculty members generally had positive attitudes about the importance to the field of supporting students with incarcerated parents. However, even though school psychology faculty members generally had positive attitudes about the topic, and many are engaging in teaching on it, school psychology faculty members rated their perceived knowledge about parental incarceration as somewhat limited. Qualitative analyses revealed this topic arose most often in relation to fieldwork, including practicum and internship courses and supervision. Findings point to a need for improvements in awareness and knowledge about parental incarceration among school psychology faculty members as well as more deliberate inclusion of mass incarceration and parental incarceration within coursework.</t>
  </si>
  <si>
    <t>13</t>
  </si>
  <si>
    <t>72.33.0.36</t>
  </si>
  <si>
    <t>R_6qf4F26nP8jb4a2</t>
  </si>
  <si>
    <t>Rahul</t>
  </si>
  <si>
    <t>Gaur</t>
  </si>
  <si>
    <t>rgaur@wisc.edu</t>
  </si>
  <si>
    <t>Postdoctoral researcher</t>
  </si>
  <si>
    <t>Rahul Gaur,</t>
  </si>
  <si>
    <t>Exploring a database of omnigenous stellarators</t>
  </si>
  <si>
    <t>asd</t>
  </si>
  <si>
    <t>R_5RJDibk0dGv80bT</t>
  </si>
  <si>
    <t>Keke</t>
  </si>
  <si>
    <t>Long</t>
  </si>
  <si>
    <t>klong23@wisc.edu</t>
  </si>
  <si>
    <t>her</t>
  </si>
  <si>
    <t>postdoc researcher</t>
  </si>
  <si>
    <t>Civil Engineering</t>
  </si>
  <si>
    <t xml:space="preserve"> Keke Long, Haotian Shi, Jiaxi Liu, Xiaopeng Li</t>
  </si>
  <si>
    <t>VLM-MPC: Model Predictive Controller Augmented Vision Language Model for Autonomous Driving</t>
  </si>
  <si>
    <t>Large AI models like Vision Language Models (VLMs) are powerful at interpreting scenes and reasoning about complex situations. However, they sometimes generate unreliable “hallucinations,” which can be dangerous in safety-critical areas such as autonomous driving.  Our work introduces VLM-MPC, a framework that combines a VLM with a Model Predictive Controller (MPC). The idea is simple: the VLM interprets the driving environment and suggests intentions such as desired speed or following distance, while the MPC ensures safe, smooth control of the vehicle by accounting for dynamics and feedback. Together, they form a closed loop that reduces the risks of overconfident or unstable AI outputs.  We evaluated VLM-MPC using driving datasets and realistic simulations under challenging conditions like rain, fog, night driving, and intersections. Results show that it consistently avoids risky situations, maintains safe distances, and drives more smoothly than relying on a VLM alone.  More broadly, this research demonstrates how combining reasoning models with robust control systems can make AI more reliable and interpretable. It offers a promising path toward safer applications of large models in autonomous driving and other real-world domains where trust and stability are crucial.</t>
  </si>
  <si>
    <t>17</t>
  </si>
  <si>
    <t>72.33.2.60</t>
  </si>
  <si>
    <t>R_6HJJ89e6fOaa1jz</t>
  </si>
  <si>
    <t>Siyuan"Steven"</t>
  </si>
  <si>
    <t>Sheng</t>
  </si>
  <si>
    <t>siyuan.sheng@wisc.edu</t>
  </si>
  <si>
    <t>N/A</t>
  </si>
  <si>
    <t xml:space="preserve">Animal and Dairy Sciences </t>
  </si>
  <si>
    <t>Siyuan Sheng, Erin M. Silva, Steven C. Ricke, James R. Claus</t>
  </si>
  <si>
    <t>Residual Nitrite and Nitrate in Processed Meats and Meat Analogues in the United States: Composition, Processing, Geographical Contributing Factors</t>
  </si>
  <si>
    <t>Nitrite (NO2−) and Nitrate (NO3−) are most common meat curing ingredients that serve as antimicrobials to inhibit Clostridium botulinum, limit growth of spoilage organisms, retard lipid peroxidation, and provide the unique cured meat flavor. While the added NO2− and NO3− concentrations (NOx−) in processed meats are strictly regulated worldwide, NO3− in processed meats could be inadvertently introduced from various sources including water, non-meat ingredients, processing aids, and meat used. There is a lack of understanding of residual NOx− content in different processed meat categories, what factors affect NOx− content, and how NOx− content impact color attributes during storage.</t>
  </si>
  <si>
    <t>71.13.147.17</t>
  </si>
  <si>
    <t>R_3QUN1NF9R5rtfyN</t>
  </si>
  <si>
    <t>Nicholas</t>
  </si>
  <si>
    <t>Mailloux</t>
  </si>
  <si>
    <t>namailloux@wisc.edu</t>
  </si>
  <si>
    <t>Nicholas Mailloux, Erin Mayfield, Jesse Jenkins, Tracey Holloway, Jonathan Patz</t>
  </si>
  <si>
    <t>Comparing the Air Quality and Health Implications of the Inflation Reduction Act and a Net-Zero Pathway</t>
  </si>
  <si>
    <t>The transition to a low-carbon economy has the potential to improve health by reducing ambient fine particulate matter (PM2.5) exposure. We apply a data-driven, systems-level framework that integrates detailed energy system modeling (EnergyPATHWAYS and RIO) with three air quality models (APSCA, COBRA, and ISRM) and exposure–response functions to evaluate cumulative and disparate air quality and health effects associated with climate change mitigation policies and pathways. This approach seeks to comprehensively represent and assess the spatial and temporal distribution and sectoral attribution of impacts, accounting for uncertainty in the choice of air quality model and exposure–response function. Here, we evaluate the health effects of county-level air quality changes in the US from 2022 to 2050 across 15 emission source categories induced by the climate and energy provisions of the Inflation Reduction Act (IRA) and a more ambitious scenario to achieve net-zero emissions by mid-century. Averaged across the three air quality models, the IRA would prevent 5,860 (95% CI: 5,140–6,570) premature deaths in 2035, largely driven by changes in the electricity and transportation sectors. This equates to 82% of the avoided mortality benefits of the net-zero scenario (7,110 [95% CI: 6,240–7,970] premature deaths) in the same year. By 2050, the IRA prevents 5,140 (95% CI: 4,510–5,760) premature deaths compared to 14,480 (95% CI: 12,700–16,240) under the net-zero scenario. Cumulatively from 2022 to 2050, the IRA has the potential to prevent 115,000 (95% CI: 101,000–130,000) premature deaths from decreased PM2.5 exposure, nearly half (48%) the 239,000 (95% CI: 210,000–268,000) premature deaths prevented under the net-zero scenario. The sectoral distribution of avoidable mortality benefits is largely consistent for all three air quality models. Across all combinations of air quality models and exposure–response functions, avoidable mortality estimates differ at most by a factor of three to five, with most of this variation attributable to the exposure–response relationship.</t>
  </si>
  <si>
    <t>18</t>
  </si>
  <si>
    <t>144.92.135.78</t>
  </si>
  <si>
    <t>R_7P0CV025mXdAVIC</t>
  </si>
  <si>
    <t>Amaka</t>
  </si>
  <si>
    <t>Okori</t>
  </si>
  <si>
    <t>okori@wisc.edu</t>
  </si>
  <si>
    <t>she, her</t>
  </si>
  <si>
    <t>Amaka Okori</t>
  </si>
  <si>
    <t>The relationship between psychosocial acceptance of disability and vocational rehabilitation engagement services among young adults with disabilities</t>
  </si>
  <si>
    <t>Participation and commitment that yield positive outcomes stem from one’s psychological readiness to engage in vocational rehabilitation programs. For an individual with a disability, acceptance of their disability is key to meaningful engagement in rehabilitation services. Theoretically, existing studies support the relationship between disability acceptance and engagement in vocational rehabilitation (VR) services; however, further research is needed to clarify how acceptance influences participation, persistence, and success in VR. Due to evolving rehabilitation practices, youth transition challenges, and post-pandemic recovery, this study is both timely and necessary to advance inclusive, psychosocially informed VR service delivery. The study aimed to evaluate the relationship between disability acceptance and vocational rehabilitation engagement among young adults with disabilities, examining whether autonomy mediates the relationship between disability acceptance and engagement in vocational rehabilitation (VR). Correlation analyses and mediation analyses were used to investigate research questions among 63 young adults with disabilities, aged 18-30, who had received VR services. The findings indicated that a moderately strong, positive relationship exists between the extent to which the participants engaged in VR services and their acceptance of disability. Autonomy did not mediate the relationship between disability acceptance and VR engagement. Implications: A complex set of psychological factors influences engagement. VR professionals can design services to promote choice, self-direction, and collaborative planning, enabling clients to become active agents in their vocational journey.</t>
  </si>
  <si>
    <t>138.229.230.226</t>
  </si>
  <si>
    <t>R_6rcB94Rfp7tn8lC</t>
  </si>
  <si>
    <t>Candelaria</t>
  </si>
  <si>
    <t>Bergero</t>
  </si>
  <si>
    <t>bergero@wisc.edu</t>
  </si>
  <si>
    <t>La Follette School of Public Affairs</t>
  </si>
  <si>
    <t>Candelaria Bergero, Jing Cheng, Qiang Zhang, Yang Ou, Haewon McJeon, Destenie Nock, Inês Azevedo, Steven J. Davis</t>
  </si>
  <si>
    <t>Residual emissions may perpetuate community-scale inequalities of U.S. air pollution in net-zero scenarios</t>
  </si>
  <si>
    <t xml:space="preserve">Achieving net-zero emissions targets reduces GHGs and thus improves air quality, but the magnitude and distribution of these improvements will depend on specific mitigation decisions, such as the amount and location of residual emissions being offset by carbon dioxide removals (CDR). Here, we combine a series of models and datasets to analyze community-scale PM2.5 impacts across the contiguous U.S. of net-zero scenarios with different levels of CDR and thus residual emissions. Both the high- and low-CDR scenarios avoid many PM2.5-related deaths compared to a reference scenario, decreasing from around 200,000 to 160,000 and 130,000 deaths in 2050 in the high- and low-CDR scenarios, respectively. However, the low-CDR pathway leads to lower residual emissions and brings larger health benefits that disproportionately affect non-white and low-income groups. Our results thus suggest that in the absence of concerted transition planning, large-scale CDR deployment could be at odds with the equal distribution of climate mitigation-related health benefits in the U.S. </t>
  </si>
  <si>
    <t>35.148.124.111</t>
  </si>
  <si>
    <t>R_5R6Mjnm57wtl04N</t>
  </si>
  <si>
    <t>Simone</t>
  </si>
  <si>
    <t>Bruno</t>
  </si>
  <si>
    <t>sbruno3@wisc.edu</t>
  </si>
  <si>
    <t>Simone Bruno, Beril Mat, Erin L. Schaeffer, Ido Haber, Zhiwei Fan, Tariq Alauddin, Richard F. Smith, Sean P. Prahl, Mackenzie R. Wilcox, Madelynn D. Loring, Peter Achermann, Stefan Beerli, Myles Capstick, Esra Neufeld, Niels Kuster, Larissa Albantakis, Stephanie G. Jones, Chiara Cirelli, Melanie Boly, Giulio Tononi</t>
  </si>
  <si>
    <t>Bilateral thalamic stimulation via TES-TI Enhances Sleep Spindle Activity during a Daytime Sleep Episode</t>
  </si>
  <si>
    <t xml:space="preserve">Introduction: Sleep spindles are electroencephalographic (EEG) elements characteristic of non-rapid eye movement sleep. The interaction of the thalamic reticular nucleus with the thalamocortical relay neurons constitutes the neurophysiological mechanism underlying spindle generation. Here, we demonstrate Transcranial Electrical Stimulation with Temporal Interference (TES-TI) ability to enhance spindle activity bilaterally targeting the thalamus.   Methods: 24 participants (age 27.2 ys ± 7.4 ys; 69.6% F) underwent thalamic TES-TI stimulation during daytime naps during N2 sleep. Three envelope frequencies were tested in random order: 10 Hz (TES-TI 10Hz), envelope frequency matched to each participant’s sigma peak (TES-TI Peak), and 0 Hz (TES). Simultaneous 256-channel high-density EEG recordings were performed. Average spectral power in the sigma band (9-16 Hz) across all electrodes was compared before (PRE) and during the stimulation (STIM) using paired Wilcoxon test. Topographic patterns of sigma power changes during the stimulation were assessed using a non-parametric cluster-based permutation test. Spindles characteristics were compared between STIM and PRE using paired Wilcoxon tests.   Results: TES-TI 10Hz stimulation only was associated with a significant increase in sigma power (∆µSTIM-PRE = 0.36 log10µV2, p = 0.042). Cluster-based analysis localized the increase over two frontal and centro-parietal electrode clusters (p = 0.027). TES-TI 10Hz stimulation was also associated with a significant increase in spindle power (∆µSTIM-PRE = 0.035 log10µV2, p = 0.0093).   Conclusions: This study presents the first evidence supporting the successful use of TES-TI during sleep to target the thalamus and enhance sleep spindle activity. Stimulation at a fixed envelope frequency of 10 Hz effectively increased sigma band and individual spindles power, whereas stimulation matched to each participant’s individual sigma band peak did not produce a comparable enhancement. Further research is needed to investigate the cognitive and clinical impact of TES-TI-induced spindle enhancement. </t>
  </si>
  <si>
    <t>R_1CdJHUlVBb1pFlZ</t>
  </si>
  <si>
    <t>she, her, hers</t>
  </si>
  <si>
    <t>FWE</t>
  </si>
  <si>
    <t>Beyond Domain Labels: A Unified Knowledge Transfer Framework for Individual Tree Crown Segmentation</t>
  </si>
  <si>
    <t>128.104.108.29</t>
  </si>
  <si>
    <t>R_6FbMFWpEoMJbsrc</t>
  </si>
  <si>
    <t>Zheng</t>
  </si>
  <si>
    <t>Ma</t>
  </si>
  <si>
    <t>zma243@wisc.edu</t>
  </si>
  <si>
    <t>Space Science and Engineering Center (SSEC)</t>
  </si>
  <si>
    <t>Zheng Ma, Zhenglong Li, Pei Wang, Yong Chen, and Changyong Cao</t>
  </si>
  <si>
    <t>The radiometric stability of VIIRS/SNPP RSB over Lake Michigan using a machine learning technique</t>
  </si>
  <si>
    <t xml:space="preserve">The Visible Infrared Imaging Radiometer Suite (VIIRS) is a key instrument carried on the JPSS satellite series. It is critically important to understand the VIIRS long-term radiometric stability through the time series analysis. Our previous studies have been focused on regions with deep convective clouds (DCC) and lakes with stable surface such as Salton Sea in California. For other regions like Lake Michigan, however, it is difficult to monitor the radiometric stability of VIIRS directly through  time series analysis from observations because of  relatively strong temporal variations of surface properties due to biological activities and ice and the atmosphere above surface. Therefore, we proposed an alternative method to estimate the radiometric stability of VIIRS visible bands by taking into account the spectral correlations among different bands. This is based on the fact that even if there exist temporal variations on the surface and atmosphere above it, the spectral correlations remain stable in that all bands are observing the same targets. In this study, a machine learning framework is developed to learn the spectral correlations, i.e. predicting one specific VIIRS band from observations of the other 10 visible bands. The models are trained using observations from 2013 and found to have great prediction accuracy. Then the trend of prediction bias for each band is mathematically calculated. While the trend of prediction bias can be regarded as the trend of model prediction minus trend of observation, the model prediction trend is affected by observation trends from the other 10 bands. Sensitivity experiments are carried out with permutations to each predictor band of the predicting models to acquire approximate linear sensitivity coefficients for each predictor band to each target band. The model prediction trends can be approximated by the sum of these coefficients multiplied by their respective observation trends. Therefore, one can get a matrix of 11 equations with 11 unknown variables of observation trends. With the trends of prediction bias calculated from predictions and real observations, one can evaluate the stability of VIIRS bands from the solution of the observations trends. Results over Lake Michigan will be presented. This methodology once proved loose the requirement of stable homogeneous surface, and thus can be applicable to other surface conditions not limited to Lake Michigan. </t>
  </si>
  <si>
    <t>75.128.248.102</t>
  </si>
  <si>
    <t>R_3mWAflzA5zpD5hD</t>
  </si>
  <si>
    <t>Kevin</t>
  </si>
  <si>
    <t>Parducho</t>
  </si>
  <si>
    <t>parducho@wisc.edu</t>
  </si>
  <si>
    <t>Kevin R. Parducho, Zachary T. Morrow, John-Demian Sauer</t>
  </si>
  <si>
    <t>Host signaling pathways required for Bacterially-induced Prostaglandin E2 Synthesis</t>
  </si>
  <si>
    <t xml:space="preserve">Prostaglandin E2 (PGE2) is an eicosanoid that contributes to a variety of physiological processes ranging from control of tumor growth to the induction of labor during pregnancy. PGE2 is also essential for optimal CD8+ T-cell priming following L. monocytogenes infection or vaccination. Infection by WT Listeria induces PGE2 production from phagocytic cells. However, our understanding of the host pathways and bacterial factors that regulate PGE2 production remain incomplete. Published data suggests that the host proteins MPGES1, COX-2, and the bacterial protein listeriolysin O (LLO) – which forms pores in the phagosomal membrane for the eventual bacterial escape into the host cytosol – are required for Listeria-induced PGE2 synthesis. Our recent results show that the activity of the calcium-sensitive cPLA2, which canonically initiates PGE2 synthesis via releasing arachidonic acid (a PGE2 precursor) from membrane phospholipids can be inhibited with pyrrophenone and that this decreased PGE2 synthesis from infected macrophages. Given the calcium-sensitivity of cPLA2, we decided to test whether the role of LLO could be due to its ability to induce calcium flux by infecting macrophages with the phagosome-confined Δhly Listeria with concurrent treatment with agents that promote calcium flux. Our data suggests that Listeria access to the cytosol is not required for PGE2 synthesis as simultaneous infection with Δhly Listeria and treatment with an agonist for phagosomal calcium channels phenocopies infection with WT Listeria. Lastly, to determine whether this phenomenon is unique to Listeria infections, we infected macrophages with B. subtilis that artificially express LLO and found similar observations – increased PGE2 synthesis. In sum, these data collectively suggest that Ca2+ flux from bacteria-containing phagosomes – potentially via LLO – can stimulate PGE2 synthesis. This research can help us understand how to modulate the production of PGE2 – a hormone important for cancer immunotherapies and reproductive health.  </t>
  </si>
  <si>
    <t>128.104.117.31</t>
  </si>
  <si>
    <t>R_17WIplNbwR6jNWT</t>
  </si>
  <si>
    <t>Mandar</t>
  </si>
  <si>
    <t>Bhutkar</t>
  </si>
  <si>
    <t>bhutkar@wisc.edu</t>
  </si>
  <si>
    <t>Biochemistry</t>
  </si>
  <si>
    <t>Mandar Bhutkar1, Phoenix M. Shepherd1, Mark K. Devries2, James E. Gern2, Yury A. Bochkov2, Robert N. Kirchdoerfer1 1Biochemistry Department and the Institute for Molecular Virology, University of Wisconsin-Madison, Madison, WI 53706, USA. 2Department of Pediatrics, University of Wisconsin, School of Medicine and Public Health, University of Wisconsin-Madison, Madison, WI 53706, USA.</t>
  </si>
  <si>
    <t>Electron Microscopy-based Polyclonal Epitope Mapping for Rhinovirus C</t>
  </si>
  <si>
    <t>Human rhinoviruses (RVs) are respiratory pathogens transmitted via droplets or contact. These viruses are primarily responsible for the common cold. Among the three viral species (RV-A, -B, -C), RV-C has been linked to asthma in young children. RV-C has been classified into more than 60 types based on the sequencing of the structural capsid protein. Until now, no approved vaccines or therapeutics are available for RV-C infection, underscoring the urgent need for effective treatments. This study determined the first cryo-EM structure of rhinovirus C, type 41 (RV-C41) at 3.1 Å resolution. The structure aligns with the published RV-C15 structure (RMSD: 1.546 Å), specifically in the capsid core and key domain interfaces. Interestingly, conserved hydrogen bonds were observed at the VP2 and VP3  interfaces, critical for interactions with cadherin-related family member 3 (CDHR-3), the known receptor for RV-C. Future work will focus on mapping the binding sites of polyclonal antibodies from recovered patient sera on RV-C at high resolution using electron microscopy (EM)-based polyclonal epitope mapping (EMPEM). Identifying neutralizing epitopes will help inform vaccine design and spur the development of monoclonal antibody therapies to block RV-C infection.</t>
  </si>
  <si>
    <t>74.91.97.167</t>
  </si>
  <si>
    <t>R_7fdJjyR7ldc8eKv</t>
  </si>
  <si>
    <t>Tong</t>
  </si>
  <si>
    <t>Wang</t>
  </si>
  <si>
    <t>tong.wang@wisc.edu</t>
  </si>
  <si>
    <t>RESEARCH ASSOCIATE</t>
  </si>
  <si>
    <t>Department of Pathobiological Sciences</t>
  </si>
  <si>
    <t>Tong Wang, Yan Liu, Rong Li, Nathan Merrill, Zhongde Wang and Peter Halfmann</t>
  </si>
  <si>
    <t xml:space="preserve">Characterization of transgenic human dipeptidyl peptidase-4 hamsters to study MERS coronaviruses </t>
  </si>
  <si>
    <t>Middle East respiratory syndrome coronavirus (MERS-CoV) lacks a tractable small-animal model, limiting studies on pathogenesis and medical countermeasures. Transgenic mice expressing human dipeptidyl peptidase-4 (hDPP4) have been the only available rodent model but do not fully recapitulate transmission dynamics. While wild-type Syrian hamsters are not permissive to MERS-CoV, their proven utility for SARS-CoV-2 research prompted the generation of hDPP4 transgenic hamsters. In this study, we established hDPP4 Syrian hamsters and challenged them intranasally with MERS-CoV (EMC/2012). Trangenic hDPP4 hamsters supported efficient virus replication in the respiratory tract, with high titers in nasal turbinates, trachea, and lungs. To assess transmission, we performed airborne and direct-contact experiments. No transmission occurred across a perforated barrier permitting airflow that prevented direct contact between hamsters, indicating a lack of airborne spread under these conditions. In contrast, co-housing naïve hDPP4 hamsters with infected donors resulted in robust contact transmission, with an extended exposure time yielding 100% infection. Together, these findings establish hDPP4 transgenic hamsters as a practical small-animal model for MERS-CoV that combines efficient respiratory replication with contact-dependent transmission. This model fills a critical gap between mouse and large-animal systems and provides a tractable platform to evaluate medical countermeasures.</t>
  </si>
  <si>
    <t>Watercolor painting</t>
  </si>
  <si>
    <t>poster boards</t>
  </si>
  <si>
    <t>24.240.44.7</t>
  </si>
  <si>
    <t>R_3mWTAgFug5YuDAd</t>
  </si>
  <si>
    <t>Ziyong</t>
  </si>
  <si>
    <t>zhong37@wisc.edu</t>
  </si>
  <si>
    <t>Pharmacy</t>
  </si>
  <si>
    <t>Ziyong Hong, Jiaoyang Jiang</t>
  </si>
  <si>
    <t>Cracking the Sweet Code: Mechanistic Insights into Human O-GlcNAcase</t>
  </si>
  <si>
    <t>O-GlcNAcylation is a dynamic protein modification that regulates essential cellular processes, controlled by the opposing enzymes O-GlcNAc transferase (OGT) and O-GlcNAcase (OGA). Dysregulation of this modification is linked to a wide range of diseases, including cancers and neurodegenerative diseases, highlighting the importance of understanding how these enzymes recognize their substrates. Using integrated techniques, such as small-angle X-ray scattering, cryo-electron microscopy, and molecular dynamics simulations, we investigated the structural features of human OGA and its interaction with an important protein substrate. We show that OGA forms a dimer with a rigid catalytic core and flexible domains, and that substrate binding induces major conformational changes on the level of dimerization. These findings provide new insights into OGA substrate recognition and inform strategies to probe and therapeutically target O-GlcNAcylation.</t>
  </si>
  <si>
    <t>20</t>
  </si>
  <si>
    <t>128.104.27.161</t>
  </si>
  <si>
    <t>R_3Ie9eHKEoTcVP6V</t>
  </si>
  <si>
    <t>Mahshid</t>
  </si>
  <si>
    <t>Saleh</t>
  </si>
  <si>
    <t>saleh5@wisc.edu</t>
  </si>
  <si>
    <t>PostDoc Researcher</t>
  </si>
  <si>
    <t>WNRPC</t>
  </si>
  <si>
    <t xml:space="preserve"> Mahshid Saleh1, Divine Mensah Sedzro1, Steven Cate2, William Hildebrand2, Jenny Gumperz3 and Igor Slukvin1*    1 Wisconsin National Primate Research Center, University of Wisconsin-Madison. 2 Madison, WI, University of Oklahoma Health Science Center, Oklahoma City, OK. 3 Department of Medical Microbiology and Immunology, University of Wisconsin School of Medicine and Public Health, Madison, WI, United States. </t>
  </si>
  <si>
    <t xml:space="preserve">Genome Editing of Human Leukocyte Antigen Genes in Induced Pluripotent Stem Cells for Immune-Compatible Dendritic Cell Production: A CRISPR Study </t>
  </si>
  <si>
    <t xml:space="preserve">   The success of regenerative medicine using allogeneic induced pluripotent stem cells (iPSCs) hinges upon precise genome editing of human leukocyte antigen (HLA) genes to mitigate the risk of immune rejection. Despite iPSCs' promise in regenerative medicine, HLA mismatch-induced immune rejection poses a significant challenge. This study aimed to generate dendritic cells from iPSCs with tailored HLA expression profiles to circumvent alloreactivity with the goal to engineer iPSCs to retain a specific class I HLA allele (HLA-A02) capable of activating T cells from about 40% of donors, while eliminating other less common HLA molecules likely to trigger alloreactivity. We also wanted HLA-C expression to be retained to confer protection against natural killer cells. We designed several gRNAs to allow for the selective editing of HLA- and HLA-B alleles using CRISPR/Cas9 in iPSCs with HLA-A02, HLA-A32, HLA-B44, HLA-B51, HLA-C3 and HLA-C7 genotype. iPSCs were electroporated with gRNAs and Cas9 protein. After a week, single clones were assessed for HLA-A and HLA-B expression using flow cytometry. Two gRNAs were employed simultaneously (sgRNA 1.2) and individually (sgRNA1 &amp; sgRNA 2). Clone 5 from cells treated with sgRNA1.2 exhibited heterozygous knockout of HLA A2 expression and partial reduction in HLA BW4 expression. Consequently, clone 5 was expanded and several clones were derived. Flow cytometry analysis revealed homozygous knockout of multiple HLA alleles in all clones except one. To confirm the findings, next-generation sequencing was conducted. Both HLA-A02:01 and HLA-A03:01 were successfully knocked out in two samples: Sg1.2 clone 5 (3) and Sg1.2 clone 5 (5), which will be used as negative controls for T cell activation in further assays. Also, genomic sequence analysis revealed that, as expected, HLA-Cw03:04 and HLA-Cw07:04 remained unaffected by CRISPR editing. Furthermore, HLA-B44 displayed a partial knockout, while HLA-B51:01 remained unedited. This was reflected by a reduction in staining for the HLA-Bw4 epitope at the cell surface. These findings underscore the feasibility and efficacy of CRISPR-based genome editing in tailoring HLA expression profiles in iPSCs, thereby advancing the prospects of regenerative medicine. </t>
  </si>
  <si>
    <t>108.213.152.195</t>
  </si>
  <si>
    <t>R_7fj49PlYRZy13Ii</t>
  </si>
  <si>
    <t>Monica</t>
  </si>
  <si>
    <t>Rodriguez Morris</t>
  </si>
  <si>
    <t>mrodriguez37@wisc.edu</t>
  </si>
  <si>
    <t>Civil and Environmental Engineering</t>
  </si>
  <si>
    <t>Monica I Rodriguez Morris</t>
  </si>
  <si>
    <t>What the fork? Polylactic acid as litter, how to account for it in life cycle assessment</t>
  </si>
  <si>
    <t>Single use plastics present a challenge to the environment, especially if they become litter. Changes in international policy in the last few years have made evident how fragile plastics recycling infrastructure is. There is intrinsic contamination in the material arising from additives, extrinsic contamination from other materials, which all together makes recycling of plastics technically difficult and expensive. One potential solution could be the substitution of conventional plastic with bioplastics, however, there is little data on how some of these materials are handled by users and waste facilities, and what happens if these become stagnant litter. In this work, polylactic acid, polystyrene, and polypropylene forks were set as stagnant litter in soil and left outside in real-world conditions for a full year, including freeze-thaw conditions. Little to no degradation was observed. The findings are incorporated into life cycle assessment methods to determine how impact calculations may change when considering the weathering of the plastic materials and the implications of these materials becoming litter.</t>
  </si>
  <si>
    <t>Block print made of discarded materials.</t>
  </si>
  <si>
    <t>Preferebly a small picture stand on a table</t>
  </si>
  <si>
    <t>72.33.0.140</t>
  </si>
  <si>
    <t>R_5tijWaDKukKBTRD</t>
  </si>
  <si>
    <t>Yiran</t>
  </si>
  <si>
    <t>Hou</t>
  </si>
  <si>
    <t>hou78@wisc.edu</t>
  </si>
  <si>
    <t>Yiran Hou, Julie Rindy, Huy Q. Dinh, Anna Huttenlocher</t>
  </si>
  <si>
    <t xml:space="preserve">The role of mydgf in myeloid responses </t>
  </si>
  <si>
    <t xml:space="preserve">Neutrophils are first responders to infections and tissue injury. While the initial presence of neutrophils provides the immune response required to fight infections, their extended stay at wounds could lead to chronic inflammation, hindering tissue repair. Reverse migration, as one of the major mechanisms for neutrophil clearance from wound site, is an attractive target for achieving local inflammation resolution without causing systemic immunosuppression. Our previous work has identified myeloid-derived growth factor (mydgf) as a potential regulator of neutrophil reverse migration. However, its way of function remains unclear. To better understand how does mydgf regulate myeloid cell responses in wound healing process, we performed single-cell RNA sequencing in neutrophils and macrophages from both wildtype and mydgf-/- larval zebrafish with and without burn wounding. Removing mydgf has minimal effect on the overall population structure of myeloid cells. Although, mydgf is produced mainly in precursor-like neutrophils and cycling macrophages in wildtype fish, its effect spreads to all myeloid subpopulations. In response to wound, mydgf suppresses response to stress, glucose regulation, and effector functions mainly in the immature neutrophils. Further ligand-receptor-based cell-cell communication analysis revealed that mydgf could exert its function through regulating a wide range of cytokines with myeloid subpopulation specificity. Together, these findings suggest that the known tissue level functions of mydgf could come from individual myeloid subpopulations. Similar subpopulation-specific effects of MYDGF were seen in human iPSC-derived neutrophils. This work underlines the importance of considering myeloid heterogeneity when targeting MYDGF for therapeutic purposes. </t>
  </si>
  <si>
    <t>72.33.2.96</t>
  </si>
  <si>
    <t>R_6RhPi3rRUvNKBA5</t>
  </si>
  <si>
    <t>Alysia</t>
  </si>
  <si>
    <t>Vang</t>
  </si>
  <si>
    <t>avang29@wisc.edu</t>
  </si>
  <si>
    <t>Obstetrics and Gynecology, Animal and Dairy Science</t>
  </si>
  <si>
    <t>Alysia L. Vang, Waneska S. Frizzarini, Zelma Marohn, Guilherme J.M. Rosa, Joao R.R. Dorea, Laura L. Hernandez</t>
  </si>
  <si>
    <t>Early mammary gland development and first lactation milk production</t>
  </si>
  <si>
    <t>Although ultrasound imaging is common in large animals, the use of mammary gland ultrasound imaging and its predictive capacity for milk production is scarce. Therefore, the focus of this research was to identify early indicators of high milk production in dairy calves using ultrasound imaging. Fresian Holstein heifers were paired by birthweight and fed low (L, 1.89 L/d, n=48) and high (H, 3.78 L/d, n=48) diets for 7 weeks. QuPath software was used to extract features such as echogenicity and area measurements from ultrasound images.  Linear mixed models were used to analyze mammary parenchymal (PAR) mean echogenicity, PAR area, mammary fat pad (MFP) mean echogenicity, and MFP area. PAR area was significantly larger in H calves  at 11 weeks (P&amp;lt;0.001). Although PAR mean echogenicity changed significantly over time in both treatment groups (P&amp;lt;0.001) and production level tended significance (P=0.074). MFP mean echogenicity significantly changed over time in both groups (P&amp;lt;0.001). MFP Area was significantly larger in H calves at 9 and 11 weeks (P&amp;lt;0.050) and increased in both treatment groups 3-11 weeks (P&amp;lt;0.001). A linear model was used to analyze first lactation energy corrected milk and PAR and FP area were positively and negatively associated with ECM, respectively (P&amp;lt;0.010, P&amp;lt;0.050).  Two-way anova was performed to investigate interactions between diet and first lactation milk production on the ultrasound measurements. At 5 weeks of age, interaction of diet*production was significant for MFP area and PAR mean echogenicity.  The most significant differences were between LL and LH (P=0.038, P=0.014). At 11 weeks of age, the interaction of diet*production was significant in MFP area (P=0.045)  with LL having the greatest area (P=0.047). MFP mean echogenicity was marginally affected by diet with L animals having higher echogenicity than the H group (P=0.075). These results suggest that ultrasound measurements of PAR development rather than body weight or diet alone may be a key early predictor of future milk production. L production animals had greater PAR and MFP mean echogenicity and greater MFP area at 11 weeks. Additional research is required to delineate the molecular and histological changes during early development that later affect first lactation milk production.</t>
  </si>
  <si>
    <t>Farm Photos</t>
  </si>
  <si>
    <t>props to hold up photos</t>
  </si>
  <si>
    <t>72.33.2.49</t>
  </si>
  <si>
    <t>R_50C80dceOKn0ziQ</t>
  </si>
  <si>
    <t>Connor</t>
  </si>
  <si>
    <t>Henley</t>
  </si>
  <si>
    <t>connor.henley@wisc.edu</t>
  </si>
  <si>
    <t>Computer Sciences</t>
  </si>
  <si>
    <t>Connor A. Henley, Colin R. Meyer, Jacob I. Chalif, Joseph L. Hollmann, and Ramesh Raskar</t>
  </si>
  <si>
    <t>Measurement of snowpack density, grain size, and black carbon concentration using time-domain diffuse optics</t>
  </si>
  <si>
    <t>Diffuse optical spectroscopy (DOS) techniques characterize scattering media by examining their optical response to laser illumination. Time-domain DOS methods involve illuminating the medium with a laser pulse and using a fast photodetector to measure the time-dependent intensity of light that exits the medium after multiple scattering events. While DOS research traditionally focused on characterizing biological tissues, we demonstrate that time-domain diffuse optical measurements can also be used to characterize snow. We introduce a model that predicts the time-dependent reflectance of a dry snowpack as a function of its density, grain size, and black carbon content. We develop an algorithm that retrieves these properties from measurements at two wavelengths. To validate our approach, we assembled a two-wavelength lidar system to measure the time-dependent reflectance of snow samples with varying properties. Rather than measuring direct surface returns, our system captures photons that enter and exit the snow at different points, separated by a small distance (4–10 cm). We observe clear, linear correlations between our retrievals of density and black carbon concentration, and ground truth. For black carbon concentration the correlation is nearly one-to-one. We also find that our method is capable of distinguishing between small and large grain sizes.</t>
  </si>
  <si>
    <t>72.33.0.252</t>
  </si>
  <si>
    <t>R_3TBLXMivLmS6ItH</t>
  </si>
  <si>
    <t>David</t>
  </si>
  <si>
    <t>Barnett</t>
  </si>
  <si>
    <t>dbarnett@wisc.edu</t>
  </si>
  <si>
    <t>Department of Ophthalmology and Visual Sciences</t>
  </si>
  <si>
    <t>David Barnett, Katriel Tan, and Freya Mowat</t>
  </si>
  <si>
    <t>Intravitreal thiazolidinediones in a mouse model of dry AMD</t>
  </si>
  <si>
    <t>Age-related macular degeneration (AMD) is a leading cause of blindness, yet treatments are limited. Anti-VEGF wet AMD therapy fails in 25% of patients and may worsen dry AMD. Peroxisome proliferator-activated receptor gamma (PPARG) regulates many key AMD pathways. PPARG agonist thiazolidinediones have promise in targeting wet and dry AMD. This study explores their potential in a mouse model. This study evaluates the pharmacokinetics and therapeutic potential of intravitreal thiazolidinediones (TZDs) in a preclinical AMD model. Aim 1 determines TZD pharmacokinetics, safety, and dosing in wild-type mice. Mice receive single intravitreal TZD injections, and drug distribution is quantified in the vitreous, cerebrospinal fluid (CSF), and serum using mass spectrometry at multiple time points following injection. Aim 2 assesses repeated intravitreal TZD administration in a dry AMD model using Pgc1a +/- mice, aged 18 to 24 months, and a high-glycemic diet. Longitudinal optomotor response and electroretinography assesses retinal function, and optical coherence tomography assesses retinal structure. Laser capture microdissection and qPCR will evaluate molecular changes in the retina and RPE. Histology and immunohistochemistry will quantify RPE atrophy, inflammation, and neovascularization. These methods will establish the feasibility of TZDs as a potential therapy for dry AMD. Pharmacokinetics studies will be completed in April 2025, optimizing TZD dosing for intravitreal administration. Drug levels in the vitreous, CSF, and serum will inform safe and effective concentrations. The dry AMD model treatment phase will begin in May 2025 and continue for six months, assessing repeated intravitreal TZD injections in Pgc1a +/- aged mice on a high-glycemic diet.  We expect intravitreal repurposed TZDs to preserve retinal function, reduce RPE atrophy and inflammation, and mitigate dry AMD progression, all while achieving therapeutic concentrations in the eye and limiting systemic exposure, supporting their potential as a novel therapy for dry AMD.</t>
  </si>
  <si>
    <t>66.190.56.186</t>
  </si>
  <si>
    <t>R_7QEGxwgdGyiyk43</t>
  </si>
  <si>
    <t>Lindsey</t>
  </si>
  <si>
    <t>Felth Tanaka</t>
  </si>
  <si>
    <t>felth@wisc.edu</t>
  </si>
  <si>
    <t xml:space="preserve">Post-Doctoral Researcher </t>
  </si>
  <si>
    <t>Comparative Biosciences</t>
  </si>
  <si>
    <t xml:space="preserve">Lindsey Felth Tanaka, Julia Tlapa, Monica Ridlon, Alyssa Lentine, Tamryn Jordan, and Kimberly Keil Stietz </t>
  </si>
  <si>
    <t>Investigating the modulation of Autism Spectrum Disorder and Lower Urinary Track Symptoms in a gene-by-environment model utilizing Shank3 mutant mice and polychlorinated biphenyl exposure</t>
  </si>
  <si>
    <t xml:space="preserve">Lower Urinary Tract Symptoms (LUTS) affect 77% of adolescents with Autism Spectrum Disorder (ASD), yet the mechanism for this dysfunction and viable treatment options remain unresolved.  Although ASD behavioral deficits may cause LUTS, it is also possible that genetic mutations underlying ASD connectivity in neuronal networks also affect the lower urinary tract by altering the neuronal control of voiding.  Mutations in Shank3, a post-synaptic scaffolding protein essential for signal transduction and plasticity in glutamatergic synapses, are a genetic risk factor for ASD.  Polychlorinated biphenyls (PCBs) are environmental toxicants and hypothesized ASD risk factors that are capable of altering voiding function in mice. In this gene by environment model, we investigate the hypothesis that interaction of Shank3 mutation and PCB exposure will lead to increased ASD behavioral phenotype and voiding dysfunction. Juvenile wild type, heterozygous, and homozygous Shank3 mutant mice were dosed daily with an environmentally relevant mixture of PCBs (0, 0.1, or 1.0mg/kg) for three weeks (P21-P42). Mice were then assessed for ASD phenotypes using the three-chamber social approach, repetitive grooming test, and olfactory habituation test. Voiding function was assessed using Void Spot Assay (VSA).  Preliminary data validates ASD behavioral assay characterization, with wild type mice spending more time engaging in social behavior than Shank3 mutants. VSA indicates that Shank3 heterozygous and homozygous male and female mice produce fewer small urine spots compared to wild type vehicle controls. VSA also indicates that in wild type mice, juvenile PCB exposure decreases small urine spots in male mice at the 0.1mg/kg PCB dose versus control. Additional treatment groups are being tested to determine the effects of PCBs on these behaviors in each genotype. Understanding the pathophysiology of ASD and its comorbidities, such as LUTS, as well as modifiable risk factors like toxicant exposure, may help improve treatment options and provide valuable mechanistic insight to the pathophysiology of ASD.  </t>
  </si>
  <si>
    <t>72.33.2.98</t>
  </si>
  <si>
    <t>R_3JtTuYoU2qagDn3</t>
  </si>
  <si>
    <t>Zhao</t>
  </si>
  <si>
    <t>zyang768@wisc.edu</t>
  </si>
  <si>
    <t>53711</t>
  </si>
  <si>
    <t>Civil, Environmental Engineering</t>
  </si>
  <si>
    <t>Zhao Yang, Martin Shafer, Christina K Remucal</t>
  </si>
  <si>
    <t>An integrated analytical approach for assessment of per- and polyfluoroalkyl substances (PFAS) contamination at AFFF-impacted sites</t>
  </si>
  <si>
    <t>Per- and polyfluoroalkyl substances (PFAS) are pervasive, persistent contaminants of significant human health concern, particularly in areas impacted by the use of aqueous film-forming foams (AFFF). This study presents an integrated analytical approach for characterization of total PFAS and detailed PFAS compound speciation in AFFF-impacted surface water and bed sediment. Specifically, we integrated a large suite of established and novel analytical methods including targeted PFAS analysis (with and without total oxidizable precursor (TOP) assay) via liquid chromatography-tandem mass spectrometry (LC-MS/MS), extractable organic fluorine (EOF) determination via combustion ion chromatography (CIC), and non-targeted, semiquantitative analysis using Fourier-transform ion cyclotron resonance mass spectrometry (FT-ICR MS) and quadrupole time-of-flight (QTOF) MS. For the first time, FT-ICR MS was employed for non-targeted PFAS analysis with the aim of semi-quantification across a molecular range (m/z: 200-1000 Da). The very-high resolution (&amp;gt;1,000,000 at m/z 400 Da) of FT-ICR MS enabled accurate identification (mass error: 1 ppm) of a wider array of PFAS, while QTOF MS assisted with structural identification through MS/MS fragmentation. Additionally, the TOP assay and CIC measurements provided further insights into precursor compounds and a measure of total PFAS content, respectively. This comprehensive strategy is expected to capture a much larger range of PFAS with greater confidence than traditional methods, thereby, improving our understanding of contaminant fate and transport, fingerprint changes, and precursors transformation.</t>
  </si>
  <si>
    <t>72.33.2.27</t>
  </si>
  <si>
    <t>R_6J3Hahs8K31QqX2</t>
  </si>
  <si>
    <t>Kate</t>
  </si>
  <si>
    <t>Somerville</t>
  </si>
  <si>
    <t>ksomerville3@wisc.edu</t>
  </si>
  <si>
    <t>Postdoctoral Research Fellow</t>
  </si>
  <si>
    <t>Kate Somerville</t>
  </si>
  <si>
    <t>The School Mental Health Policy Rubric: Creating a Vision for Improved Systems of School Mental Health Through Youth Participatory Action Research</t>
  </si>
  <si>
    <t>This study used critical policy analysis and youth participatory action research to engage a group of high school activists in creating public health-informed policy recommendations for school mental health policy and practice in United States public schools. Drawing on a theoretical framework that centers critical understandings of trauma and mental health, youth examined and reimagined current systems of school-based mental health with attention to the systems of power that cause health inequities. Over the course of ten online, Zoom-based meetings, 12 youth researcher participants from different communities collected and analyzed auto-ethnographic data, quantitative data, and qualitative data specific to each of their schools and communities. Collaboratively, youth researchers drew on their differing experiences and identities to develop a School Mental Health Policy Rubric that contained seven policy recommendations for improved systems of school mental health. Youth’s recommendations included seven focus areas: expanding access to mental health clinicians; creating curriculum that honors diverse identities and includes discussion of mental health; creating student spaces for growth, connection and healing; authentically engaging youth in decision-making; implementing fair and restorative school discipline practices; better connecting schools with families and the community; and focusing on the mental health and well-being of teachers and staff. Youth researchers’ policy recommendations centered shifting dynamics of power to create environments and systems that prevent trauma and promote well-being while improving access to care. Youth’s ideas aligned with and advanced current research by adding to our understanding of how schools could better promote mental health for young people. Importantly, this work highlights the need for youth partnership and expanded understandings of what counts as school mental health policy in both research and practice aimed at transforming school mental health.</t>
  </si>
  <si>
    <t>72.33.2.82</t>
  </si>
  <si>
    <t>R_7twXurPeEMrHs6N</t>
  </si>
  <si>
    <t>Benjamin</t>
  </si>
  <si>
    <t>Smith</t>
  </si>
  <si>
    <t>bjsmith28@wisc.edu</t>
  </si>
  <si>
    <t>Mechanical Engineering; Atmospheric &amp; Oceanic Sciences</t>
  </si>
  <si>
    <t>Benjamin J. Smith, Till J. W. Wagner, Nimish Pujara, Hilary A. Dugan, Grace M. Wilkinson, Lucas K. Zoet, Jennifer A. Franck</t>
  </si>
  <si>
    <t>How Ice Cover Composition impacts Radiatively Driven Convection in Lakes</t>
  </si>
  <si>
    <t xml:space="preserve">Cold fresh water has an interesting property where its density (“heaviness”) increases between 0 ℃ (32 ℉) to 4 ℃ (39 ℉). This means that, in this regime, warmer water sinks and cooler water rises which is not what we observe when, for example, we boil water and warmer water rises and cooler water sinks. This property has consequences for freshwater lakes that experience winter ice cover as the water now stratifies, where water temperatures increase with depth from freezing point (0 ℃ / 32 ℉) at the ice-water interface to the temperature of maximum density (4 ℃ / 39 ℉). This suppresses water motion (convection), however, the water is not stagnant due to density driven flows. As winter progresses into spring, an increase of solar radiation through the ice warms near surface waters via light absorption, thereby increasing density, and generates currents, called Radiatively Driven Convection. These can transport nutrients into the near surface water triggering early growth of phytoplankton and lead to algal blooms during or soon after ice cover. The ice composition is a key control mechanism of this, where highly transparent black ice allows more light to propagate into the water column compared to opaque white ice. Climate change is predicted to lead to an increased variation of ice quality, namely a transition to more white ice dominated ice covers. Hence, it is important to investigate how this change in composition impacts lake circulation which further dictates other biophysical processes. To tackle this, solar radiation is incorporated into computer simulations of water motion where melting is not considered in order to investigate the impact of ice quality as light starts to consistently penetrate the water column as in spring. We find that increasing the amount of opaque white ice (relative to that of transparent black ice) reduces the amount of light transmitted decreasing heat transfer to the water and delaying water motion. </t>
  </si>
  <si>
    <t>128.104.117.200</t>
  </si>
  <si>
    <t>R_6kzzrBePK57efnC</t>
  </si>
  <si>
    <t>Vivek</t>
  </si>
  <si>
    <t>Susvirkar</t>
  </si>
  <si>
    <t>susvirkar@wisc.edu</t>
  </si>
  <si>
    <t xml:space="preserve">Vivek Susvirkar, Cate Schwake, Qixiang He, Xiuhua Lin and Ci Ji Lim </t>
  </si>
  <si>
    <t>Developing long-read sequencing tools for telomere chromatin landscape studies</t>
  </si>
  <si>
    <t>My project aims to understand how telomere chromatin is dynamically shaped to accommodate DNA replication fork progression and chromosome end-protection across a cell cycle. Telomeres are highly repetitive sequences at the ends of eukaryotic chromosomes that are essential for chromosome end-protection and cell division capacity control. Previous metazoan genetic, cell-based, and biochemical studies have yielded important insights into how these processes function. However, these studies fail to describe telomeres in their native state of thousands of telomeric DNA repeats (TTAGGG in humans). The multitude of equivalent protein binding sites at telomeres creates a unique scenario where different binding occupancy and pattern can impact their chromatin structure. Without the ability to study the telomere chromatin landscape, we do not know if a regulatory mechanism exists that taps into the diversity of repetitive telomeric protein-DNA interactions to drive telomere functions. To tackle this challenge, I plan to innovate a method that allows me to map the distribution of protein-DNA interactions at repetitive DNA regions and use this innovation to study the distribution pattern of telomeric proteins at individual telomeres. The new method is based on an innovative combination of targeted non-native DNA methylation with single-molecule real-time DNA sequencing. By doing so, I aim to define the telomere chromatin landscape at DNA replication cell-cycle checkpoints and identify the principles that govern this process.</t>
  </si>
  <si>
    <t>144.92.198.203</t>
  </si>
  <si>
    <t>R_7logpwWLT42Hvv0</t>
  </si>
  <si>
    <t>Laura</t>
  </si>
  <si>
    <t>Berman</t>
  </si>
  <si>
    <t>lberman6@wisc.edu</t>
  </si>
  <si>
    <t>Forest and Wildlife Ecology</t>
  </si>
  <si>
    <t xml:space="preserve">Laura M. Berman1*, Fabian D. Schneider2,3,4, Ryan P. Pavlick4,5, M. Zachariah Peery1, Connor M. Wood6, Ting Zheng1, Ethan Shafron4,7, Zhiwei Ye1, Natalie Queally1, Morgan Dean8, Giulia Tagliabue 9, Jason M. Winiarski1, Anu Kramer1, Philip A. Townsend1 </t>
  </si>
  <si>
    <t>Remote sensing and bioacoustics reveal avian niche partitioning and habitat filtering</t>
  </si>
  <si>
    <t>Habitat loss, land use and climate change, and other global change pressures are causing widespread biodiversity loss with still unknown consequences for ecosystem functions. Quantifying and understanding species niches, for example in terms of niche specificity and overlap, is critical for determining a species’ vulnerability to habitat loss and climatic shifts and is central to ecological concepts such as niche partitioning and habitat filtering. Despite its importance, the ecological niche is notoriously difficult to quantify. However, advancements in remote sensing and geospatial datasets now offer unprecedented opportunities to identify and describe niches across scales. In this study, we quantify avian species' preferred habitats, assess their specialization, and determine the extent of habitat overlap among species to examine patterns of niche partitioning and competitive exclusion. We utilized automated detections of 90 bird species collected from 577 autonomous recording units (ARUs) deployed throughout the Sierra Nevada, USA from 2021 to 2023. These data were combined with remotely sensed habitat variables, including human disturbance, terrain, climate, phenology, leaf physiology and ecosystem function, to measure habitat specificity and niche area overlap. Species breeding ranges and breeding range overlap were also analysed. Generalist species, such as American Robins, exhibited the largest niche areas, whereas specialists like Canyon Wrens had the smallest niches. We observed a negative relationship between range overlap and preferred habitat overlap among congeneric species pairs, indicating that closely related species have more distinct ranges when their preferred habitats are similar, consistent with niche partitioning and competitive exclusion principles. Sister species pairs exhibited low range overlap and similar preferred habitats, suggesting recent allopatric speciation events. In contrast, more distantly related species demonstrated a positive correlation between range overlap and preferred habitat, aligning with the concept of habitat filtering. Our results highlight how different ecological drivers shift in prominence as species diverge. Initially, taxa start as allopatric populations of the same species with similar traits. Diverging species must develop sufficiently distinct niches to live sympatrically without intense competition. By leveraging new spatial variables derived from remote sensing, such as foliar functional traits, we significantly improved our ability to define niches based on biologically meaningful components of ecosystems. This integrative approach not only advances our understanding of species coexistence and ecological dynamics but also offers valuable insights for biodiversity conservation and habitat management strategies.</t>
  </si>
  <si>
    <t>128.104.141.60</t>
  </si>
  <si>
    <t>R_3c2Qar1Ig2t4iMV</t>
  </si>
  <si>
    <t>Xuyao</t>
  </si>
  <si>
    <t>Liu</t>
  </si>
  <si>
    <t>xliu2443@wisc.edu</t>
  </si>
  <si>
    <t>Xuyao Liu, Josh Kraus, Bianca Chavez, Joana Pashaj, Ci Ji Lim</t>
  </si>
  <si>
    <t>Dynamic Binding of TRF2 to Long Telomeric Repeats</t>
  </si>
  <si>
    <t xml:space="preserve">The shelterin complex is a central regulator of telomere length maintenance, controlling the accessibility of telomere ends through the dynamic assembly and binding of its six core subunits—TRF1, TRF2, RAP1, TIN2, TPP1, and POT1. These subunits are recruited to telomeres in a tightly regulated, sequence-dependent manner. Despite shelterin’s central role in telomere biology, our understanding of how it engages and assembles on kilobase-long telomeric DNA molecules — more representative of the true cellular context — remains limited. In this study, we used optical tweezers – fluorescence microscopy (C-Trap) to investigate the real-time interaction of human shelterin protein, TRF2, with a long telomeric DNA. Our results show that TRF2 binds more readily to telomeric repeats, exhibiting a longer dwell time and a reduced diffusion rate compared to its interaction with random DNA sequences. Moreover, we observed that telomere-bound TRF2 can facilitate additional TRF2 binding in adjacent non-telomeric regions. Further single-molecule experiments using kilobase-long telomeric repeats will be conducted to deepen our understanding of TRF2’s binding dynamics and its implications for telomere maintenance. </t>
  </si>
  <si>
    <t>R_5IGloRsOrltYpyo</t>
  </si>
  <si>
    <t>Post doctoral research fellow</t>
  </si>
  <si>
    <t>Rashidi F1, do Vale Souza R1, van der Heijden RA1,2, Hassani S1, Biswal S1, Pirasteh A1,3  1)	Department of Radiology, University of Wisconsin-Madison, USA 2)	Department of Radiology &amp; Nuclear Medicine, Erasmus University Medical Center, Rotterdam, The Netherlands 3)	Department of Medical Physics, University of Wisconsin-Madison, USA</t>
  </si>
  <si>
    <t>Impact of FDG PET/MRI on Management of Patients with Chronic Spinal Pain</t>
  </si>
  <si>
    <t xml:space="preserve">Background Chronic spinal pain, low back and neck pain, is the greatest contributor to disability, costing the U.S. healthcare system $134.5 billion in 2016.1–3 CT and MRI, which rely on morphologic abnormalities to identify the source(s) of pain, suffer from poor diagnostic accuracy,4 often leading to undesirable and often harmful outcomes, such as unnecessary/ineffective surgeries and systemic treatments with morbid side effects (e.g., opioids)5. Hence, there is a critical unmet need for accurate detection of pain generators to enable focused and effective treatments. FDG PET can accurately identify pain generating foci by targeting the inflammation linked to painful conditions.6–9 Given that MRI provides high-resolution images with excellent soft tissue contrast that complement functional information on PET, we evaluated the impact of FDG PET/MRI on management of patients with chronic spinal pain.  Method This single-center, retrospective, IRB-approved study reviewed all clinical PET/MRI exams of patients with chronic spinal pain refractory to several standard-of-care therapies. Exams were performed on a PET/MRI scanner. Exams were reviewed and reported in consensus by a dual-board-certified radiologist/nuclear medicine physician and a musculoskeletal radiologist, where abnormal uptake on PET was correlated with MRI, and suspected foci of pain generation were reported. Baseline and follow-up pain scores were compared using Student’s t-test; P&amp;lt;0.05 was considered significant. Result 28 exams from 28 patients were identified: 5/28 patients had no follow-up at the time of this review; the other 23/28 were included for analysis. Pain region was the neck for 5, upper back for 4, and lower back for 14. PET/MRI changed management in 19/23: 18 patients underwent anesthetic/steroid injections, and 1 patient underwent surgery. Average follow-up pain score was significantly lower after intervention compared to baseline, respectively 2.8 and 5.6 (P&amp;lt;0.01). 13/19 patients reported 30% or greater reduction of pain. For the remaining 4/23 patients, clinical management did not change based on PET/MRI findings. Among all patients, there was no report of increase in pain at follow-up compared to baseline.  Conclusion FDG PET/MRI demonstrated an overall positive impact on management of patients with chronic spinal pain, mainly achieved by identifying previously unknown foci of pain generation and enabling targeted interventions. Given the high prevalence of chronic spinal pain, if even a fraction of patients receives an accurate diagnosis, FDG PET/MRI's impact would be significant. </t>
  </si>
  <si>
    <t>72.33.2.166</t>
  </si>
  <si>
    <t>R_7RrdXC8sw5nVjk7</t>
  </si>
  <si>
    <t>Paul</t>
  </si>
  <si>
    <t>Buchmann</t>
  </si>
  <si>
    <t>pbuchmann@wisc.edu</t>
  </si>
  <si>
    <t>WI State Climatology Office</t>
  </si>
  <si>
    <t>Paul Buchmann, Rob Montgomery, Paul Block, Steve Vavrus</t>
  </si>
  <si>
    <t>Analysis of Rock River Flooding and Efforts to Reduce Flooding</t>
  </si>
  <si>
    <t>With the Rural Partnerships Institute, the Wisconsin State Climatology Office has been researching amplified weather extremes to help rural Wisconsinites better prepare for weather extremes.  As an example of a project we’ve been working on, we are investigating flooding of the Rock River in southeastern Wisconsin.  Over the last four decades, the Rock River has been flooding more frequently and at greater intensity.  This has had devastating effects on the local towns and farms.  Our research aim is to determine how much of that flooding is due to increasing precipitation, and how much is due to land use changes, especially agricultural drainage.  Along with this analysis, work has been started to coordinate dam operations along the Rock River to hopefully mitigate some of the flooding.</t>
  </si>
  <si>
    <t>R_3xQKRAI2CmgrrNP</t>
  </si>
  <si>
    <t>Mahmudur</t>
  </si>
  <si>
    <t>Rahman</t>
  </si>
  <si>
    <t>mrahman1@medicine.wisc.edu</t>
  </si>
  <si>
    <t>Post doctoral Research Associate</t>
  </si>
  <si>
    <t>Mahmudur Rahman, PhD1; Jifan Gao, MS1; Kyle Carey, MPH2; Dana Edelson, MD, MS2; Askar Afshar, MS1; John Garrett, PhD1; Guanhua Chen, PhD1; Majid Afshar, MD, MSCR1; Matthew M Churpek, MD, MPH, PhD1 1University of Wisconsin-Madison, Madison, WI, USA; 2University of Chicago, Chicago, IL, USA</t>
  </si>
  <si>
    <t>Comparing Deep Learning Approaches for Predicting Clinical Deterioration Using Chest X-Rays</t>
  </si>
  <si>
    <t>Background: The early detection of clinical deterioration and timely intervention for hospitalized patients can improve patient outcomes. The currently existing early warning systems rely on variables from structured data, such as vital signs and laboratory values, and do not incorporate other potentially predictive data modalities. Because respiratory failure is a common cause of deterioration, chest radiographs are often acquired in patients with clinical deterioration, which may be informative for predicting their risk of intensive care unit (ICU) transfer.  Objective: This study aimed to compare and validate different computer vision models and data augmentation approaches with chest radiographs for predicting clinical deterioration.  Methods: This retrospective observational study included adult patients hospitalized at the University of Wisconsin Health System between 2009 and 2020 with an elevated electronic cardiac arrest risk triage (eCART) score, a validated clinical deterioration early warning score, on the medical-surgical wards. Patients with a chest radiograph obtained within 48 hours prior to the elevated score were included in this study. Five computer vision model architectures (VGG16, DenseNet121, Vision Transformer, ResNet50, and Inception V3) and four data augmentation methods (histogram normalization, random flip, random Gaussian noise, and random rotate) were compared using the area under the receiver operating characteristic curve (AUROC) and the area under the precision-recall curve (AUPRC) for predicting clinical deterioration (ie, ICU transfer or ward death in the following 24 hours).  Results: The study included 21,817 patient admissions, of which 1655 (7.6%) experienced clinical deterioration. The DenseNet121 model pretrained on chest radiograph datasets with histogram normalization and random Gaussian noise augmentation had the highest discrimination (AUROC 0.734 and AUPRC 0.414), while the vision transformer having 24 transformer blocks with random rotate augmentation had the lowest discrimination (AUROC 0.598).  Conclusions: The study shows the potential of chest radiographs in deep learning models for predicting clinical deterioration. The DenseNet121 architecture pretrained with chest radiographs performed better than other architectures in most experiments, and the addition of histogram normalization with random Gaussian noise data augmentation may enhance the performance of DenseNet121 and pretrained VGG16 architectures.</t>
  </si>
  <si>
    <t>72.33.2.120</t>
  </si>
  <si>
    <t>R_5hB6wAPnuWlOpMd</t>
  </si>
  <si>
    <t>Gavin</t>
  </si>
  <si>
    <t>Shou</t>
  </si>
  <si>
    <t>jshou4@wisc.edu</t>
  </si>
  <si>
    <t>School of Pharmacy</t>
  </si>
  <si>
    <t>Gavin Shou, Ting Fu</t>
  </si>
  <si>
    <t>Minimum Dietary Fat Threshold for effective Ketogenesis and obesity control in Mice</t>
  </si>
  <si>
    <t>Ketogenic diets (KDs), defined by high fat and minimal carbohydrate intake, have gained substantial attention for their capacity to modulate energy metabolism and promote weight loss. However, KD formulations on the market vary widely, with dietary fat making up 45–95% of total caloric intake, resulting in inconsistent induction of ketogenesis and variable metabolic outcomes. Although numerous clinical trials have reported KD-mediated weight loss in individuals with obesity, not all formulations consistently induce ketogenesis or maintain sustained ketosis— an essential feature for therapeutic benefit.  To elucidate the relationship between dietary fat content and ketogenesis, we systematically evaluated multiple KD formulations in mice. In healthy mice, only diets providing more than 85% of total calories from fat reliably induced ketogenesis, as indicated by elevated β-hydroxybutyrate (BHB, a key ketone body) levels in plasma, liver, and small intestine. This metabolic shift was accompanied by upregulation of key genes involved in ketogenesis (Acat1, Hmgcs2) and fatty acid oxidation (Cd36, Cpt1a). In diet-induced obese mice, unexpectedly, an 80% KD failed to elicit significant ketogenesis and did not reduce body weight. In contrast, a 90% KD robustly activated hepatic and intestinal ketogenesis and significantly reduced body weight, along with adipose mass across different depots. These findings identify &amp;gt;85% dietary fat as a critical threshold for effective ketogenesis and demonstrate that the anti-obesity effects of KDs are mechanistically dependent on sustained ketone production. This work refines KD formulation strategies for both preclinical research and underscore ketogenesis as the key driver of KD efficacy in therapeutic design.</t>
  </si>
  <si>
    <t>R_7OODh0qPone5e26</t>
  </si>
  <si>
    <t>Cassandra</t>
  </si>
  <si>
    <t>McGill</t>
  </si>
  <si>
    <t>cjmcgill2@wisc.edu</t>
  </si>
  <si>
    <t>Medicine - Geriatrics and Gerontology</t>
  </si>
  <si>
    <t>Cassandra J McGill, Eric R McGregor, Luigi Puglielli, Rozalyn M Anderson</t>
  </si>
  <si>
    <t>Overexpression of acetyl-CoA transporter SLC33A1 induces hyperactive growth and metabolism in neurons</t>
  </si>
  <si>
    <t>Mitochondrial dysfunction is a hallmark of aging; however, the intricate regulation of mitochondrial metabolism and how perturbations in intracellular systems change mitochondrial homeostasis is poorly understood. Acetyl-CoA is a central metabolite that serves as a node at which multiple metabolic processes converge, including the TCA cycle, cholesterol biosynthesis, and post-translational modifications of proteins, among others. Thus, acetyl-CoA connects energy metabolism to broader cell functions. SLC33A1 (AT-1) is an endoplasmic reticulum (ER) membrane-bound transporter that shuttles acetyl-CoA from the cytosol into the ER lumen, where it plays a major role in protein quality control as part of the secretory pathway. In humans, alterations in the expression of AT-1 have been implicated in several neurologic disorders, including autism spectrum disorder and spastic paraplegia. In mice, the systemic AT-1 overexpression (OE) leads to cognitive deficits and a progeroid phenotype. Prior studies reported changes in the secretory pathway and proteostasis. Here we focus on the metabolic response to AT-1 OE in primary neurons from transgenic mice. Increased expression of PGC-1a, a master regulator of mitochondrial function and neuronal arboration, suggested a potential mechanism for mitochondrial adaptation to increased AT-1. To investigate mechanisms underpinning pleiotropic outcomes, we performed bulk transcriptome, lipidome and proteome profiling on primary AT-1 OE neurons. At the gene level, we find significant differences in pathways relating to mitochondrial processes, oxidative phosphorylation, lipid storage and synaptic pruning. Lipidomic analysis finds most lipids with significant differential abundance associated with membrane components. In neurons, functional assays reveal an impact on mitochondrial membrane potential, cellular respiration, and redox metabolism. Our mitochondrial energetic phenotypes together with previously reported endoplasmic reticulum proteostatic phenotypes have prompted current work focusing on inter-organelle communication, including endoplasmic reticulum and mitochondrial contacts. Understanding the mechanisms underlying shared intracellular networks involved in various neurologic disorders could aid in the development of therapies to treat or prevent these conditions.</t>
  </si>
  <si>
    <t>128.104.53.18</t>
  </si>
  <si>
    <t>R_71ykHXQdPzPaAqA</t>
  </si>
  <si>
    <t>Daria</t>
  </si>
  <si>
    <t>Mezhenskaia</t>
  </si>
  <si>
    <t>d.a.mezhenskaia@gmail.com</t>
  </si>
  <si>
    <t>The Department of Pathobiological Sciences</t>
  </si>
  <si>
    <t>Luneville (tambour) embroidery</t>
  </si>
  <si>
    <t>Probably props on the table to hold up canvas</t>
  </si>
  <si>
    <t>144.92.43.85</t>
  </si>
  <si>
    <t>R_5QXaQazJG8dsnCD</t>
  </si>
  <si>
    <t>x</t>
  </si>
  <si>
    <t>xewipi6486@litepax.com</t>
  </si>
  <si>
    <t>72.33.2.56</t>
  </si>
  <si>
    <t>R_339pRqdJcTo4zYf</t>
  </si>
  <si>
    <t>Chadwick</t>
  </si>
  <si>
    <t>bchadwick2@wisc.edu</t>
  </si>
  <si>
    <t>Morgridge Institute for Research</t>
  </si>
  <si>
    <t>Benjamin Chadwick, Megan McKeon, Katherine Overmyer, Christina Hull, Joshua Coon</t>
  </si>
  <si>
    <t>From Dormancy to Growth: Proteomic Insights into Spore Germination in the Global Pathogen Cryptococcus neoformans</t>
  </si>
  <si>
    <t xml:space="preserve"> Cryptococcus neoformans is a global fungal pathogen contributing to &amp;gt;19% of all AIDS-related deaths, yet the molecular basis of spore  germination, a critical step in pathogenesis, remains poorly understood.  To address this, we performed a temporal proteomic analysis of C.  neoformans spores transitioning from dormancy to vegetative growth.  Proteins were extracted from spores collected at eight germination  timepoints (0min to 10h), digested with trypsin, and analyzed using  data-independent acquisition on a Thermo Orbitrap Astral coupled to a  Vanquish Neo UHPLC system. We quantified over 5,600 proteins,  covering &amp;gt;83% of the predicted proteome. Principal Component  Analysis revealed clear temporal separation of germination stages, and  clustering uncovered dynamic expression patterns, such as early  decreases in catabolic enzymes and late increases in biosynthetic  proteins, indicating coordinated shifts in cellular programs. A quorum  sensing peptide, QSP1, was identified to be critical for sporulation and  germination. This dataset represents the most comprehensive C.  neoformans proteome to date and provides critical insight into the  molecular events that drive germination and fungal adaptation.</t>
  </si>
  <si>
    <t>144.92.31.225</t>
  </si>
  <si>
    <t>R_1q9zLoYWf4b7EJv</t>
  </si>
  <si>
    <t>Naviya</t>
  </si>
  <si>
    <t>Schuster-Little</t>
  </si>
  <si>
    <t>schusterlitt@wisc.edu</t>
  </si>
  <si>
    <t>Naviya Schuster-Little, Nic Bollis, Jim Bruce, Mark Scalf, Michael Shortreed, and Lloyd M. Smith</t>
  </si>
  <si>
    <t>Characterizing the Epitranscriptome of MALAT1 Using Mass Spectrometry</t>
  </si>
  <si>
    <t xml:space="preserve">Revealing post-transcriptional modifications (PTrMs) of RNA, referred to as the epitranscriptome, is a critical new frontier of biomolecular analysis. While next generation nucleic acid sequencing technologies have made the high throughput analysis of RNA base sequences commonplace and readily available, those approaches are largely limited to the base nucleotide sequence itself, and do not generally enable the identification or localization of RNA modifications. We are using mass spectrometry (MS) as a powerful and versatile technology to identify, localize, and quantify post-translational modifications of native RNAs up to several kilobases in length. One RNA of interest is MALAT1, a long non-coding RNA that is overexpressed in many cancers. Moreover, MALAT1 has reported PTrMs that are known to play a role in the development and progression of many cancers. To demonstrate the ability that we can sequence a long non-coding RNA, we first incorporated the MALAT1 sequence into a plasmid to know the exact sequence. After linearizing the plasmid, the DNA was transcribed into RNA using in vitro transcription, and the resulting RNA was purified and quantified. The RNA was digested into fragments of 5-30 bases in length using RNase T1. RNA was separated using ion-pairing, reverse-phase, ultra-high-pressure liquid chromatography (IP-RP-HPLC) prior to analysis with tandem MS. Raw spectral files were then searched using our in-house, open-source software, MetaMorpheus, designed to recognize and identify RNA fragmentation and PTrMs. We were able to effectively sequence MALAT1 using IP-RP-HPLC-MS and achieved 20% sequence coverage. We have also determined the limit of detection to be 15 ng, or the equivalent of 5 fmol. Our future work will be focused on generating MALAT1 that contains PTrMs and sequencing MALAT1 that has been captured from cells.  </t>
  </si>
  <si>
    <t>Knitting</t>
  </si>
  <si>
    <t>Just a flat table</t>
  </si>
  <si>
    <t>144.92.38.237</t>
  </si>
  <si>
    <t>R_3IrUvXL7kdzLub6</t>
  </si>
  <si>
    <t>Chuan</t>
  </si>
  <si>
    <t>Luo</t>
  </si>
  <si>
    <t>cluo39@wisc.edu</t>
  </si>
  <si>
    <t>Mechanical Engineering</t>
  </si>
  <si>
    <t>Chuan Luo</t>
  </si>
  <si>
    <t>Efficient Computational Design Tool for Metal Additive Manufacturing</t>
  </si>
  <si>
    <t>Today, powerful computer tools allow us to design materials and structures that are both strong and lightweight. For instance, if we want to create a structure that doesn’t bend much under certain forces, we can use computer programs to determine exactly where material is needed and where it can be removed. However, turning these idealized designs into real and manufacturable parts isn’t always straightforward. The way we fabricate things often comes with limits. For example, in metal additive manufacturing by laser powder bed fusion, parts that are too big in certain areas can heat up unevenly. This can make them bend, warp, or even crack. To address these challenges, many researchers add complex rules, often geometric constraints, into the design process. However, handling these constraints requires a lot of computing power and often tricky tuning of algorithm parameters, particularly for large-scale problems. In my recent work, I propose a new computational design method that can efficiently manage millions of such manufacturing constraints even on a standard laptop. Unlike traditional approaches, it avoids listing every individual constraint, which greatly simplifies the optimization process. Furthermore, the proposed method is algorithmically simple, adaptive to be extended to different types of manufacturing constraints, and easy to integrate into existing design tools.</t>
  </si>
  <si>
    <t>72.33.2.47</t>
  </si>
  <si>
    <t>R_9YwZTqBFzqlLG7a</t>
  </si>
  <si>
    <t>Guy</t>
  </si>
  <si>
    <t>Sobol</t>
  </si>
  <si>
    <t>gsobol@wisc.edu</t>
  </si>
  <si>
    <t>Guy Sobol, David Hershey</t>
  </si>
  <si>
    <t>A chemical and mechanical cue integration module governs attachment to plant roots by a soil bacterium</t>
  </si>
  <si>
    <t>Background: The genetic programs enabling bacteria to colonize abiotic surfaces are well-characterized, but how these programs function on living tissues is less clear. Plant roots offer an attractive model for studying tissue colonization: they host diverse bacteria, secrete defined chemical signals, and hold significant importance for agriculture. However, plant assays are low throughput and laborious, limiting genetic dissection of colonization. Methods: We developed a system where detached roots can be propagated in liquid medium, bypassing whole plants and allowing genetic analysis of root colonization at scale. We then used a barcoded transposon mutant library to profile genome-wide fitness of Pseudomonas protegens Pf-5 during root colonization. Results: Mutants affecting the Gac system, a global regulator of motility, biofilm, and stress tolerance, were enriched in the non-root-associated fraction of our colonization experiment. Surprisingly, targeted mutants disrupting the Gac system showed no adhesion or growth defects in direct colonization experiments. These results suggest that Gac signaling promotes bacterial retention on roots by reducing motility and delaying dispersal, rather than mediating adhesion or detoxifying root-secreted compounds. In contrast, flagellar structural mutants displayed hyper-adhesive phenotypes, suggesting that these mutations mimic the obstruction of flagellar rotation during surface contact. Although Gac-regulated pathways are well known, its activating signals are not. Using transcriptional reporters, we show the Gac system is activated by both impaired flagellar function and root-secreted compounds broadly used by the plant to facilitate host-microbe interactions. Conclusions: Our findings suggest that the Gac system integrates mechanical and chemical cues to drive root colonization, revealing a regulatory logic for surface persistence that may extend to other host-microbe interactions.</t>
  </si>
  <si>
    <t>144.92.10.244</t>
  </si>
  <si>
    <t>R_7gu9Alt6KNeaYWe</t>
  </si>
  <si>
    <t>Yashar</t>
  </si>
  <si>
    <t>Makhtoumi</t>
  </si>
  <si>
    <t>makhtoumi@wisc.edu</t>
  </si>
  <si>
    <t>R_7K1LWKwHdSkUIuy</t>
  </si>
  <si>
    <t>Nelson Institute</t>
  </si>
  <si>
    <t xml:space="preserve">Yashar Makhtoumi1, Yanhua Xie, Tyler Lark </t>
  </si>
  <si>
    <t>Field Level Mapping of Irrigated Land across the US</t>
  </si>
  <si>
    <t>%80 of the US water use comes from agriculture. Growing demand for freshwater, due to population growth as well as increasing uncertainty of extreme climate conditions necessitate better understanding of the water use in agricultural fields which will lead to a more sustainable water management. In recent decades, advances in remote sensing helped researchers to study water use in agriculture. The ability to remotely sense water usage at field/farm level is an opportunity towards better understanding the water use. To this end, we will develop a novel irrigation mapping approach to identify irrigated fields across the US. Irrigation results in different crop phenology compared to rainfed agriculture which results in different spatio-temporal vegetation distribution such as differences in greenness and biomass. Our approach will leverage shape, texture, location, neighbor as well as spectral information with underlying assumption that irrigation has a positive effect on crop growth throughout the field. For comparison purposes, we will also create two other CONUS-wide irrigation maps based on LANID (Xie et al. 2021) and a few field boundary datasets. The first map is LANID-based field level irrigation map where fields’ irrigation status is determined using geospatial techniques. The second map is also LANID-based; however, the fields’ irrigation status is classified using ML methods. And the last map is based on a novel methodology which will leverage new variables and field level spectral behavior as opposed to pixel level. The result will be continental US maps that represent irrigated farms with delineated boundaries. All the maps are based on Landsat imagery.</t>
  </si>
  <si>
    <t>72.33.0.212</t>
  </si>
  <si>
    <t>R_1fHwvIqvAFrZFP5</t>
  </si>
  <si>
    <t>Samuel</t>
  </si>
  <si>
    <t>Salemink-Harry</t>
  </si>
  <si>
    <t>Samuel T. Salemink-Harry, Edison Huang, Nimish Pujara</t>
  </si>
  <si>
    <t>Pickup of particles by wave-swash interactions</t>
  </si>
  <si>
    <t>In the swash zone, waves are responsible for transporting substantial quantities of sediment and dissolved materials. The interaction between an incoming wave and the swash generated by the preceding wave can result in significant vertical accelerations within the water column. We investigate how these interactions lead to the pickup of aluminum particles in a laboratory setting. Pairs of solitary waves, varying in amplitude between 0.03 m and 0.12 m, are generated to create wave-swash interactions within a 39 m long, 1 m wide, and 0.3 m deep wave flume. The waves subsequently shoal and break on a 1:10 sloping beach. A 6.35 mm wide and tall aluminum hollow cylinder located 0.3 meters from the still water line on the beach (corresponding to 0.03m water depth). The particle is confined to vertical motions by a vertically oriented wire and rests 3mm above the sloping beach. The subsequent motion of the particle is monitored by a high-speed camera through a glass side wall. The initial wave does not pickup the particle; however, the subsequent wave initiates pickup for certain wave heights and separations. The observed pickup is influenced by the generated wave heights and separation time, resulting in varying maximum pickup distances of the particle.</t>
  </si>
  <si>
    <t>R_5mfQoexndwHQ5Uy</t>
  </si>
  <si>
    <t>Yashar.Makhtoumi@gmail.com</t>
  </si>
  <si>
    <t>72.33.0.96</t>
  </si>
  <si>
    <t>R_7CNTV3EMzelDvrl</t>
  </si>
  <si>
    <t>Ximeng</t>
  </si>
  <si>
    <t>xwang2782@wisc.edu</t>
  </si>
  <si>
    <t>Sheemong Wong</t>
  </si>
  <si>
    <t>Department of nuclear engineering and engineering physics</t>
  </si>
  <si>
    <t>Ximeng Wang; Junliang Liu; Kieran Rivers; Ricardo Vidrio; Yuhan Tong; Adrien Couet; Jennifer Choy; Alexander Kvit; Yongfeng Zhang</t>
  </si>
  <si>
    <t xml:space="preserve">Density Functional Theory Study of Charge Distribution at Metal-ZrO2 Interface </t>
  </si>
  <si>
    <t xml:space="preserve">Conventional corrosion theories often assume homogeneous oxidation. However, oxides formed during oxidation often contain nanoscale metallic inclusions (NMI). The presence of NMIs, especially at high densities, may disrupt the transport of charged species and lead to inhomogeneous oxidation. To investigate the influence of NMIs, Density Functional Theory (DFT) calculations are employed to investigate charge distribution across the interface between various metals (e.g., Au, Ag, Al) and ZrO₂. The DFT results are coupled with theoretical analysis to assess the impact zone of NMIs by solving Poisson’s equation self-consistently. The results show that the amount of charge transferred across the interface depends on the activity of the metal and the doping level of the oxide. The influence of the metal-oxide interface can extend to hundreds of nm at low doping levels, implying that even small-sized NMI can affect charge transport in oxides significantly.    </t>
  </si>
  <si>
    <t>144.92.232.55</t>
  </si>
  <si>
    <t>R_1q9cpHZk4istNAf</t>
  </si>
  <si>
    <t>Quentin</t>
  </si>
  <si>
    <t>Perraud</t>
  </si>
  <si>
    <t>qperraud@wisc.edu</t>
  </si>
  <si>
    <t>Quentin Perraud, Vanessa Sperandio</t>
  </si>
  <si>
    <t>Repurposing sulfapyridine to target virulence gene expression in enterohemorrhagic E. coli</t>
  </si>
  <si>
    <t>Enterohemorrhagic E. coli (EHEC) is a food-borne pathogen that can cause hemolytic uremic syndrome (HUS), a life-threatening condition. The use of antibiotics for the treatment of EHEC infections is controversial since it often causes an increase in production of Shiga toxin, the main contributor to HUS.  A different approach for the handling of EHEC infection would be to target virulence by hijacking bacterial signaling systems controlling the attachment of bacteria to the intestinal epithelium. The main driver of EHEC’s attachment is a type III secretion system encoded on a pathogenicity island called the locus of enterocyte effacement (LEE). This type III secretion system’s expression is tightly regulated, a fact that has been exploited for the design of virulence inhibitors.  Considering the challenges in developing novel antimicrobial drugs for niche use, we have turned toward re-purposing already FDA-approved molecules as potential virulence modulators by evaluating structural analogues of hits identified through a large chemical library performed in our lab. In this study, we explore the use of sulfasalazine and its metabolite sulfapyridine as virulence inhibitors for E. coli O157:H7. Using an approach combining in vitro tools such as immunoblotting, fluorescent actin staining and RNA sequencing, we were able to show a decrease in transcription and production of proteins encoded on the locus of enterocyte effacement (LEE) pathogenicity island, as well as a diminution of attachment to epithelial cells.  Our mechanistic study of the drug also revealed a previously unknown link between EHEC’s folate metabolism and virulence gene expression. This decrease of virulence can also be observed in Citrobacter rodentium, a LEE-bearing murine pathogen. We were able to demonstrate that our anti-virulence strategy significantly increases odds of recovery of C3H/HeJ mice challenged with a Shiga toxigenic C. rodentium strain.</t>
  </si>
  <si>
    <t>Paintings</t>
  </si>
  <si>
    <t xml:space="preserve">prop to hold up canvas </t>
  </si>
  <si>
    <t>72.33.2.119</t>
  </si>
  <si>
    <t>R_1uxIra6LGAPFzcl</t>
  </si>
  <si>
    <t>Ziang</t>
  </si>
  <si>
    <t>Yu</t>
  </si>
  <si>
    <t>zyu435@wisc.edu</t>
  </si>
  <si>
    <t>53715</t>
  </si>
  <si>
    <t>Postdoctoral Associate</t>
  </si>
  <si>
    <t>Nuclear Engineering and Engineering Physics</t>
  </si>
  <si>
    <t>Ximeng Wang #, Ziang Yu#, Yachun Wang* and Yongfeng Zhang*</t>
  </si>
  <si>
    <t>Multiscale Study of helium diffusion in Ni-Cr alloys: Short-range trapping versus long-range channeling</t>
  </si>
  <si>
    <t>Ni-Cr alloys are widely employed as structural materials in fast nuclear reactors but are vulnerable to high-temperature helium (He) embrittlement (HTHE) under fast neutron irradiation. A comprehensive understanding of He diffusion in Ni-Cr alloys, which governs the kinetics of HTHE, is therefore essential for developing resilient materials and preventing failure. In this study, we reveal the underlying mechanisms of He diffusion in pure Ni and Ni-Cr alloys by integrating density functional theory (DFT) with atomistic kinetic Monte Carlo (AKMC) simulations. Our findings uncover a non-monotonic dependence of He diffusivity on Cr concentration, contradicting the monotonic trends predicted by DFT-parameterized theories. At low Cr concentrations, He diffusion is dominated by short-range trapping, characterized by multiple trapping sites and a distinct mechanism within the first nearest neighbor of Cr, differing from that in pure Ni. At high Cr concentrations, these local traps become interconnected, forming long-range fast diffusion channels that enhance He mobility. The competition between localized trapping and extended channeling results in a diffusivity that first decreases, then increases with rising Cr content. These atomic-scale insights offer critical guidance for the design of radiation-tolerant Ni-based alloys. Moreover, the combined DFT-AKMC methodology and the concept of random walk diffusion through interconnected energy basins present a broadly applicable framework for studying transport phenomena in disordered systems.</t>
  </si>
  <si>
    <t>128.104.134.45</t>
  </si>
  <si>
    <t>R_3An8BRAc3vLJdgl</t>
  </si>
  <si>
    <t>Mia</t>
  </si>
  <si>
    <t>Phillips</t>
  </si>
  <si>
    <t>mphillips37@wisc.edu</t>
  </si>
  <si>
    <t>Entomology</t>
  </si>
  <si>
    <t>Mia E. Phillips, William R. Morrison III, Alison R. Gerken, Emily N. Bick</t>
  </si>
  <si>
    <t>Sound &amp; Vibration in Insect Pest Detection</t>
  </si>
  <si>
    <t>Insect pests are major threats to agricultural products at all stages of the supply chain. Insects can destroy crops in fields and can infest our stores of dried products like corn and wheat. These infestations result in devastating economic loss. Early detection of these pests allows for timely intervention and prevention of further damage to agricultural commodities. Conventional methods can be time-consuming and often require close inspection of the field or storage facility. This can be avoided, however, by using remote sensing devices that detect the presence of pests and alert farmers or managers to infestations. Vibroacoustic sensors have been shown to detect the sounds and vibrations produced by pest insects in various agricultural products. Here, we present three projects assessing the potential for vibroacoustic recording as a means of passive detection of pest insects. First, we recorded vibrations produced by three Coleopteran stored product pests in small masses of dried whole wheat. We found clear differences in the vibrations produced by each species, opening the possibility for automated detection and identification of these pests. Next, we tested the ability of inexpensive acoustic recorders to detect emergences of adult Plodia interpunctella moths, an important stored grain pest. Last, we present our current work at UW Madison, where we test the ability of the Insect Eavesdropper (an invention of the Bick Lab) to detect a variety of pest species in numerous crop types. We show great promise in the use of vibroacoustics for pest detection. Future work will aim to improve automated detection while reducing costs to end users.</t>
  </si>
  <si>
    <t>72.33.2.244</t>
  </si>
  <si>
    <t>R_6xRwZRNxWqVzjd5</t>
  </si>
  <si>
    <t>Bethany</t>
  </si>
  <si>
    <t>Korwin-Mihavics</t>
  </si>
  <si>
    <t>korwinmihavi@wisc.edu</t>
  </si>
  <si>
    <t>Bethany Korwin-Mihavics, Wenxuan Dong, Chi Yan, Kate Stack, Gillian Hughes, Kevin Schwartz, Margaret Alexander</t>
  </si>
  <si>
    <t>Nutritional and microbiota affects on Cryptosporidium infection</t>
  </si>
  <si>
    <t>Malnutrition is a major contributor of susceptibility to severe infection with Cryptosporidium, an intestinal protozoan parasite, especially in young children. Diet is known to shape the intestinal microbial community which often changes immune behavior. Despite a clear association between malnutrition and microbiota composition, the impact of malnutrition-associated microbiota on susceptibility to Cryptosporidium infection has not been explored. I hypothesized that diet-associated microbiota modulate the immune response to C. parvum. To test the effects of the microbiota on infection severity, antibiotic pretreatment and protein malnutrition models were used. Broad-spectrum antibiotics or well-nourished or undernourished diets were administered beginning 7 days before C. parvum infection. The protein malnutrition model consisted of 20% protein diet for well-nourished controls and an isocaloric 7% protein diet for undernourished mice. Parasite shedding in the malnutrition model differed with respect to background microbiota and sex. Increased parasite shedding was more pronounced in males than in females, but this was only observed in mice from one animal facility while there was no difference between well-nourished and undernourished male mice from a second facility. Diet and sex may play a role in shaping the microbiota and the response to parasite infection.</t>
  </si>
  <si>
    <t>R_1r3e2xb1AyBXG65</t>
  </si>
  <si>
    <t>53706</t>
  </si>
  <si>
    <t>Nutritional and microbiota affects on a Cryptosporidium infection</t>
  </si>
  <si>
    <t>Ceramic mug with textured biofilm decoration</t>
  </si>
  <si>
    <t>Just a table or pedestal</t>
  </si>
  <si>
    <t>R_6LhZNvXziIgzXbB</t>
  </si>
  <si>
    <t>Eric</t>
  </si>
  <si>
    <t>Lin</t>
  </si>
  <si>
    <t>lin@ortho.wisc.edu</t>
  </si>
  <si>
    <t>Orthopedics and Rehabilitation</t>
  </si>
  <si>
    <t>Eric C. Lin, Yiwei Dong, Patrick Barros Tiburcio, Christopher M. Domes, Wan-Ju Li</t>
  </si>
  <si>
    <t>Enhancing Skeletal Regeneration by Modulating Stem Cells Through Gata6</t>
  </si>
  <si>
    <t>The maintenance of skeletal health is fundamental to preserving mobility, independence, and quality of life in older adults. Age-related deterioration of musculoskeletal integrity is a growing global concern, contributing to frailty, reduced physical capacity, and increased mortality risk.  Skeletal tissue aging causes decreased bone mass and impaired fracture healing. Periosteal stem cells (PSCs) expressing paired-related homeobox 1 (Prrx1) are essential for bone remodeling and fracture repair. Our previous work identified GATA6, a zinc-finger transcription factor of the GATA family, involved in the regulation of human MSC aging. Building on this finding, our current study targets Gata6 to enhance PSC function in a mouse model. We generated Prx1-CreERT2-EGFP;Gata6flox/flox;Ai14 mice for this study. PSCs isolated from control and Gata6-cKO mice contained mostly a cell population expressing the surface markers Sca1 and CD29. Furthermore, Gata6-cKO PSCs demonstrated increased proliferation rates and higher mitochondrial membrane potential compared to controls. Enhanced osteogenic differentiation was also observed in Gata6-cKO PSCs, as evidenced by increased mineral deposition detected by alizarin red staining and elevated calcium quantification. Additionally, the expression of osteoblast-associated markers Runx2, Alp, Col1a1, and Oc were enhanced in Gata6-cKO PSCs. In an ulna fracture model, Gata6 knockout led to improved bone callus formation. This study shows that Gata6 knockout significantly enhances the regenerative capability of PSCs. Our findings suggest a promising strategy for improving bone repair and orthopedic outcomes, and may contribute to the development of new treatments to restore bone strength and function.</t>
  </si>
  <si>
    <t>72.33.2.26</t>
  </si>
  <si>
    <t>R_6O7kU0QRVE3PBV6</t>
  </si>
  <si>
    <t>Tae Hyun</t>
  </si>
  <si>
    <t>taehyun.lee@wisc.edu</t>
  </si>
  <si>
    <t>Tae Hyun Lee, Doug R. Braun, and Tim S. Bugni</t>
  </si>
  <si>
    <t>Discovery of new 6-methylsalicylic acid analogs from a marine-derived Micromonospora bacterium using LCMS-based metabolomics approach</t>
  </si>
  <si>
    <t>Principal component analysis (PCA) and Global Natural Products Social molecular networking (GNPS) were employed to dereplicate and prioritize a promising strain displaying high chemical diversity from marine-derived Micromonospora sp. bacteria. Among the bacteria, WMMD956 was selected as a novel strain; rigorous investigation of WMMD956 unveiled two new 6-methylsalicylic acid (6-MSA) analogs named sporasalids A and B (1 and 2). The chemical structures of 1 and 2 were elucidated using conventional NMR (1H and 13C, COSY, HSQC, and HMBC) and HRESIMS analyses. Interestingly, compound 2 was identified as a symmetrical scaffold composed of two 6-MSA units, which was confirmed by LC-MS/MS analysis. The sporasalids A and B (1 and 2) showed weak antifungal activity against C. albicans.</t>
  </si>
  <si>
    <t>108.69.69.243</t>
  </si>
  <si>
    <t>R_1CDUWbhJqyQAd21</t>
  </si>
  <si>
    <t>Haylee</t>
  </si>
  <si>
    <t>Hamilton</t>
  </si>
  <si>
    <t>hlhamilton2@wisc.edu</t>
  </si>
  <si>
    <t>Department of Medicine, Geriatrics &amp; Gerontology</t>
  </si>
  <si>
    <t>Haylee L. Hamilton, Rachel S. Becker, Matteo T. Meyer, Sandhya Ramachandran, Caelan Wright, Marcelo R. Vargas, Mariana Pehar</t>
  </si>
  <si>
    <t>FABP7 as a therapeutic target in Alzheimer’s disease</t>
  </si>
  <si>
    <t xml:space="preserve">The number of Americans over the age of 65 is projected to continue to increase in the near future, raising concern for the rapid increase in age-related diseases such as Alzheimer’s disease (AD). Currently available therapeutics have limited success in attenuating disease progression. It is acknowledged that neuroinflammation plays a large role in AD pathogenesis. However, anti-inflammatory agents targeting specific signaling pathways have so far failed to show conclusive results in clinical trials. We previously showed that fatty acid-binding protein 7 (FABP7) upregulation induces a proinflammatory phenotype in mouse astrocytes and in iPSC-derived human astrocyte cultures. Additionally, FABP7 is upregulated in the brain of AD patients and mouse models, most prominently in astrocytes surrounding amyloid plaques. Moreover, we observed that astrocytes with high FABP7 expression display increased levels of proinflammatory markers. Here, we evaluated the therapeutic potential of targeting FABP7 in APP/PS1 mice, a widely used AD mouse model. Using a viral vector approach to specifically knockdown FABP7 expression in astrocytes, we observed that the downregulation of astrocytic FABP7 expression decreases astrocyte and microglia reactivity in the brain of APP/PS1 mice. This effect was particularly evident in the vicinity of amyloid plaques. Moreover, we observed a significant downregulation in the expression of inflammatory markers in astrocytes. Although we did not observe a significant effect on amyloid pathology (area occupied by amyloid plaques and size of the plaques), the downregulation of FABP7 in astrocytes attenuated the accumulation of phosphorylated-Tau in neurons and dystrophic neurites. Lastly, we observed improved cognitive performance in APP/PS1 mice after astrocytic FABP7 downregulation. Collectively, our findings support the therapeutic potential of targeting astrocytic FABP7 to attenuate the deleterious effects of chronic neuroinflammation observed in AD. </t>
  </si>
  <si>
    <t>74.91.97.146</t>
  </si>
  <si>
    <t>R_6KTHmoujqH0pdDj</t>
  </si>
  <si>
    <t>Kerrie</t>
  </si>
  <si>
    <t>Fanning</t>
  </si>
  <si>
    <t>kafanning@wisc.edu</t>
  </si>
  <si>
    <t>Kerrie Fanning, PhD, Margaret Kerr, PhD, &amp; Julie Poehlmann, PhD</t>
  </si>
  <si>
    <t>Observed caregiver disrupted communications and parental reflective functioning within families experiencing parental incarceration</t>
  </si>
  <si>
    <t>Research shows that parenting behaviors and early parent-child relationships significantly impact children's development (Cooke et al., 2022). Generally, sensitive and responsive parenting is linked to more positive child outcomes, while insensitive, withdrawn, or harsh behaviors, termed disrupted communications, are associated with worse child outcomes. Two measures currently exist for assessing disrupted communications: the Atypical Maternal Behavior Instrument for Assessment and Classification (AMBIANCE/AMBIANCE-Brief; Bronfman et al., 2009/2014; Cooke et al., 2020) and the Fearful/Frightening (FR) coding scale (Main &amp; Hesse, 1992/2005); and Jacobvitz et al. (2024) recently proposed an extension of the FR scale, the anomalous/frightening scale. A new measure, the Observed Disrupted Adult-Child Communications (ODACC) rating scale (Fanning &amp; Poehlmann-Tynan, 2020) was developed based on review of existing research, observations of caregiver-child interactions, and the AMBIANCE and FR measures. It was developed to complement the Early Relational Assessment (Clark, 2014), a global measure of negative and positive interactions, and is designed for use in clinical practice and situations where video recording is not feasible or available (e.g., parent-child visits in carceral settings, in-vivo coding). The ODACC is shorter and requires less training compared to existing measures. Preliminary evidence suggests the ODACC is associated with children’s cortisol levels and attachment security and with caregiver depression symptoms (Fanning et al., 2019/2021). In a small sample of caregiver-child dyads with a parent currently incarcerated (N=14), the current study assessed relations between the ODACC scores with parental reflective functioning (PRF), or caregivers’ ability to take the child’s perspective while holding their own perspective and behaviors in mind (Luyten et al., 2017). Analyses suggest that ODACC scores were related to caregivers' PRF, with higher PRF scores on the Parental Reflective Functioning Questionnaire (Luyten et al., 2017) linked to fewer affective communication errors on the ODACC. This study provides additional preliminary evidence for the ODACC's concurrent validity.</t>
  </si>
  <si>
    <t>Crochet amigurumi Squirtle (Pokémon)</t>
  </si>
  <si>
    <t>Table or desk to set it on (it is about 1 1/2 ft tall and about 6 inches wide)</t>
  </si>
  <si>
    <t>144.92.135.70</t>
  </si>
  <si>
    <t>R_3K7T8qj8gZGcx07</t>
  </si>
  <si>
    <t>Prieto</t>
  </si>
  <si>
    <t>lprieto@wisc.edu</t>
  </si>
  <si>
    <t>she/her/ella</t>
  </si>
  <si>
    <t>Family Medicine &amp; Community Health/ Kinesiology</t>
  </si>
  <si>
    <t>Laura Prieto, Maria Mora Pinzon, Kristen Pickett</t>
  </si>
  <si>
    <t>What Do They Care about? Priorities of Care Partners in a Latine Parkinson Disease Community</t>
  </si>
  <si>
    <t xml:space="preserve">Partners, family, or friends of people with Parkinson disease (PD) are a critical part of the care team and often assist with several daily activities to promote independence for the person with PD. Latine people with PD may even be more reliant on care partner support than other racial or ethnic groups, but little is known about the experience of Latine care partners of people with PD. Moreover, research on care partners often does not consider the priorities of the care partners themselves. Our study describes the importance, performance, and satisfaction of priorities concerning daily activities of care partners in the Latine PD community. This is a qualitative study where participants completed a demographic questionnaire, a semi-structured interview on the diagnosis of the person with PD, their role as a care partner, and the Canadian Occupational Performance Measure (COPM), to identify occupational priorities.  Priorities were identified and rated on a scale of performance and satisfaction, following the COPM protocol. Interviews were analyzed using reflexive thematic analysis. Participation in the study consists of two telephone or video calls, each lasting approximately one hour in the participant’s preferred language (English or Spanish).  Thirteen care partners have consented to participate, and nine care partners (56.8 ± 11.8 years old; 8 females, 1 male) have completed all parts of the research study. Most participants (n = 7) provided 3 or more days/week of support. Based on the COPM, care partners' number one priorities were around socialization with their loved ones (e.g., spending more time with family) and their personal care (e.g., having more time to get ready). Of all the 43 occupational problems discussed by care partners regarding daily activities, most were leisure activities mainly active recreation and socialization, followed by activities related to productivity, specifically, education and caregiving responsibilities. </t>
  </si>
  <si>
    <t>72.33.2.201</t>
  </si>
  <si>
    <t>R_3fCjbvmA0x2lxSq</t>
  </si>
  <si>
    <t>Luoliang</t>
  </si>
  <si>
    <t>Xu</t>
  </si>
  <si>
    <t>lxu287@wisc.edu</t>
  </si>
  <si>
    <t>postdoc</t>
  </si>
  <si>
    <t>center for limnology</t>
  </si>
  <si>
    <t>Luoliang Xu</t>
  </si>
  <si>
    <t>Divergent Ontogenetic Thermal Habitat Shifts Reveal Hidden Risks of Warming for Lake Fishes</t>
  </si>
  <si>
    <t>Climate change is altering lake ecosystems worldwide, yet projections of fish responses typically rely on adult thermal preferences and summer-averaged temperatures. Such approaches overlook two critical complexities: that thermal optima differ across life stages, and that climate warming progresses unevenly across seasons. We addressed these gaps by modeling daily temperature profiles for 12,688 lakes across the Midwestern United States and evaluating changes in thermal habitat for 60 freshwater fish species spanning cold-, cool-, and warm-water guilds. For each species, we quantified “preferred days” for both growth and reproduction (egg development) and compared habitat availability between an early baseline period (1980–2000) and a recent warming period (2001–2021). Across all thermal guilds, reproductive habitats declined more sharply than growth habitats, with losses occurring even among warm-water species. Cold-water fishes were most vulnerable, with nearly all populations losing suitable habitat for both growth and reproduction. By contrast, many cool- and warm-water species exhibited divergent responses—gains in growth habitat but simultaneous declines in reproductive habitat. This ontogenetic decoupling reduced the number of lakes that provide seasonally suitable conditions for complete life cycles, underscoring reproduction as the critical bottleneck for population persistence. The results challenge the prevailing assumption that climate warming will consistently favor warm-adapted species and highlight the limitations of management strategies that focus on adult growth potential alone. Conservation planning must therefore adopt an ontogenetically comprehensive perspective, incorporating life-stage-specific thermal needs and seasonal dynamics to identify true climate refugia for whole life cycle and sustain inland fisheries under ongoing warming.</t>
  </si>
  <si>
    <t>172.102.4.114</t>
  </si>
  <si>
    <t>R_6dpbAbR5Dg7KzUR</t>
  </si>
  <si>
    <t>R. Gaur, R. M. Churchill, V. Fernandez, and the DESC team</t>
  </si>
  <si>
    <t>Exploring the space of omnigenous stellarators using the DESC code</t>
  </si>
  <si>
    <t>Stellarators are 3D toroidal magnetic confinement devices that are used to achieve nuclear fusion. However, there exists billions of possible 3D stellarator shapes. Hence, finding the "right" shape becomes a complicated non-convex optimization problem. To better understand this complexity, we generate a database of millions of stellarators using the GPU-accelerated DESC stellarator optimizer.  We calculate stellarators with omnigenity, a minimal property that ensures confinment of plasma particles and look at various other physics metrics such as plasma stability, electromagnetic coil shape complexity, plasma-coil distance, Helium ash transport that are used to study confinement. We draw trends that will be useful for designing reactor-scale stellarators of the future.</t>
  </si>
  <si>
    <t>R_74AGsyRN82aIIEy</t>
  </si>
  <si>
    <t>test@wisc.edu</t>
  </si>
  <si>
    <t>107.204.181.136</t>
  </si>
  <si>
    <t>R_7OoGz4hnAFSePdr</t>
  </si>
  <si>
    <t>Kyle</t>
  </si>
  <si>
    <t>Fouke</t>
  </si>
  <si>
    <t>kwfouke@gmail.com</t>
  </si>
  <si>
    <t>Department of Geoscience</t>
  </si>
  <si>
    <t>Kyle Fouke, Andrea Dutton, Mayandi Sivaguru, Charles Kerans</t>
  </si>
  <si>
    <t>Last Interglacial Sea-Level Variability Recorded in Fossilized Coral Reefs in the Bahamas-Caicos Archipelago</t>
  </si>
  <si>
    <t>Sea level records within sedimentary archives allow us to improve our understanding of past sea level-ice sheet interactions during past warm periods that help to provide informed predictions of future sea-level rise. Coral reef deposits from the most recent warm period called the Last Interglacial (LIG), from ~129-116 thousand year ago, suggest complex sea-level variability as evidenced by regional unconformity and/or hiatus surfaces that vertically separate individual reef units. There is debate as to whether this observation is evidence of a sea-level fall or perhaps a rapid rise. Here, I provide new observations of a regional erosional unconformity surface across the Bahamas and Turks and Caicos Islands to determine if this surface represents a brief sea-level fall that exposed the reef. This project is the first to utilize super resolution autofluorescence (SRAF) microscopy to characterize the alteration (diagenesis) from marine and freshwater sources in coral reef deposits. This new approach was successful in documenting the first conclusive evidence of a subaerial exposure within the LIG fossil reefs that must have formed from a sea-level fall followed by sea-level rise. Radiometric ages of the fossil corals reveal that this sea-level fall with the LIG warm period lasted less than 1.5 thousand years and SRAF data constrain the magnitude of the sea-level fell to 1.3-2.7 m. This sea-level variability illuminates rapid changes that occurred in polar ice sheet volume within a past warm period. Future work will include globally distributed sites that include the Seychelles and Western Australia. Including these sites will help determine the geographic extent, precise timing, and local magnitudes of rapid sea-level change (i.e., potentially in excess of 1 m/century) during the LIG to constrain the potential rate of sea-level response to ice sheet growth and retreat.</t>
  </si>
  <si>
    <t>35.148.71.81</t>
  </si>
  <si>
    <t>R_1zvGYHGeZlMuXmq</t>
  </si>
  <si>
    <t>Shuntaro</t>
  </si>
  <si>
    <t>Soejima</t>
  </si>
  <si>
    <t>soejima@wisc.edu</t>
  </si>
  <si>
    <t>Department of Surgery</t>
  </si>
  <si>
    <t>Shuntaro Soejima</t>
  </si>
  <si>
    <t>Validation of a Mouse Model of Dysfunctional Oropharyngeal Swallowing-Induced Aspiration Pneumonia</t>
  </si>
  <si>
    <t>Backgrouds: Nerve injured animal models help elucidate the role of individual nerves in swallowing function. A major limitation in previous animal models is that the dysphagia has been diagnosed without definitive evidence of aspiration into the airway. In this study, we investigated whether a nerve injury mouse model involving unilateral transection of both the hypoglossal and vagus nerves would induce oropharyngeal dysphagia, as evidenced by aspiration detected using unique method, bronchoalveolar lavage fluid (BALF) and scintigraphy. Methods: C57BL/6J mice were divided into nerve transection (Nx; in which the left hypoglossal and vagus nerves were transected) and nonsurgical control groups. The lungs were removed the day after nerve transection. Then, the expression of inflammation-related genes (TNFα, CCL2, and IL6) in the lung tissue was measured via qPCR and lung tissues were evaluated histologically via HE staining (Ctl=6, Nx=4). Bronchoalveolar lavage fluid (BALF) was collected at these time points and neutrophils were analyzed via FACS (Ctl=6, Nx=5). Other mice were given water mixed with Tc-99m and 18 h after surgery; BALF and stomach fluid were collected and the Tc-99m radioactive count in each sample was measured via gamma counter (Ctl=9, Nx=10). Results: Compared to controls, the expression of the CCL2 gene in lung tissue, the number of neutrophils in BALF, and the ratio of gamma counts in BALF/stomach fluid, which represents the actual Tc-99m radioactive count in BALF, were significantly higher (P &amp;lt; .05) in the Nx group. Inflammatory cell infiltration of the lung was seen histologically in the Nx group, suggesting the existence of microaspiration. Conclusion: Microaspiration pneumonia due to oropharyngeal dysphagia was detected following unilateral hypoglossal and vagus nerve transection in mice, suggesting validation of oropharyngeal micro-aspiration mouse model with nerve transection.</t>
  </si>
  <si>
    <t>24.183.41.110</t>
  </si>
  <si>
    <t>R_7vchoNssxeihLHT</t>
  </si>
  <si>
    <t>Miao</t>
  </si>
  <si>
    <t>Sun</t>
  </si>
  <si>
    <t>smiao23@wisc.edu</t>
  </si>
  <si>
    <t>Post Doc</t>
  </si>
  <si>
    <t>ECE</t>
  </si>
  <si>
    <t>Miao Sun</t>
  </si>
  <si>
    <t>eMamba: Efficient Acceleration Framework for Mamba Models in Edge Computing</t>
  </si>
  <si>
    <t>State Space Model (SSM)-based machine learning architectures have recently gained significant attention for processing sequential data. Mamba, a recent sequence-to-sequence SSM, offers competitive accuracy with superior computational efficiency compared to state-of-the-art transformer models. While this advan- tage makes Mamba particularly promising for resource-constrained edge devices, no hardware acceleration frameworks are currently optimized for deploying it in such environments. This paper presents eMamba, a comprehensive end-to-end hardware acceleration framework explicitly designed for deploying Mamba models on edge platforms.</t>
  </si>
  <si>
    <t>R_5Vaz70EvFqt4lYM</t>
  </si>
  <si>
    <t>Miao Sun, Zhengyuan Zhang, Caijie Liang, Jie Ma, Boyi Dong, Yange Wang, Zhongzhiguang Lu, Lei Qiu, Yuanjin Zheng</t>
  </si>
  <si>
    <t>The Photoacoustic Quality-Enhancement Neural Network Processor with the Scalable and End-toEnd Architecture by Improving the Sparsity Level</t>
  </si>
  <si>
    <t>Recent advances in photoacoustic imaging demon- strate effective deep bio-tissue visualization for clinical applica- tions, where U-Net architectures being widely adopted for quality enhancement. Biomedical images feature structured patterns, low resolution, and single-channel data, different from conventional computer vision datasets. Although U-Nets trained for medical super-resolution exhibit high sparsity ratios suitable for edge computing, their inherent complexity, multi-stage feature ex- traction, skip connections, and encoder-decoder structures pose significant hardware efficiency challenges. This study proposes a scalable and sparsity-supported neural network accelerator architecture tailored for bio-tissue imaging quality enhancement.</t>
  </si>
  <si>
    <t>R_3cuMvse4Uc0pTwZ</t>
  </si>
  <si>
    <t>Research Associate / Postdoc</t>
  </si>
  <si>
    <t>66.170.28.19</t>
  </si>
  <si>
    <t>R_1jH9GuJBUwez0U1</t>
  </si>
  <si>
    <t>Ian</t>
  </si>
  <si>
    <t>McConachie</t>
  </si>
  <si>
    <t>ian.mcconachie@wisc.edu</t>
  </si>
  <si>
    <t>Postdoctoral Scholar</t>
  </si>
  <si>
    <t>Astronomy</t>
  </si>
  <si>
    <t>128.104.104.205</t>
  </si>
  <si>
    <t>R_1JDiJtQZmkjoqLe</t>
  </si>
  <si>
    <t>Test</t>
  </si>
  <si>
    <t>Test@wisc.edu</t>
  </si>
  <si>
    <t>72.33.2.185</t>
  </si>
  <si>
    <t>R_5Lg8skiQlwEmDER</t>
  </si>
  <si>
    <t>Pengfei</t>
  </si>
  <si>
    <t>pchen365@wisc.edu</t>
  </si>
  <si>
    <t>researcher associate</t>
  </si>
  <si>
    <t>material science and engineering</t>
  </si>
  <si>
    <t>R_3qkXRebWeRfvQwF</t>
  </si>
  <si>
    <t>School of Veterinary Medicine</t>
  </si>
  <si>
    <t>72.33.2.183</t>
  </si>
  <si>
    <t>R_5saAlxfGWdCc19O</t>
  </si>
  <si>
    <t>Libby</t>
  </si>
  <si>
    <t>Wilson</t>
  </si>
  <si>
    <t>ewilson44@wisc.edu</t>
  </si>
  <si>
    <t>72.33.0.94</t>
  </si>
  <si>
    <t>R_68SYTlPtepVMAql</t>
  </si>
  <si>
    <t>Alyssa</t>
  </si>
  <si>
    <t>Brokaw</t>
  </si>
  <si>
    <t>abrokaw@wisc.edu</t>
  </si>
  <si>
    <t>27</t>
  </si>
  <si>
    <t>R_6TTbU0OoS2RHu47</t>
  </si>
  <si>
    <t>School of Veterinary Medicine， Department of Pathobiological Sciences</t>
  </si>
  <si>
    <t>128.104.190.44</t>
  </si>
  <si>
    <t>R_7BtcIueXmvmlY7n</t>
  </si>
  <si>
    <t xml:space="preserve">Benjamin </t>
  </si>
  <si>
    <t>R_3MzEqRXv7LUlcIz</t>
  </si>
  <si>
    <t xml:space="preserve">Kate </t>
  </si>
  <si>
    <t>R_1Eorwf9vbZx2H17</t>
  </si>
  <si>
    <t>R_1kNvxicVECDalbs</t>
  </si>
  <si>
    <t>Nur</t>
  </si>
  <si>
    <t>Aycan</t>
  </si>
  <si>
    <t>naycan@wisc.edu</t>
  </si>
  <si>
    <t>Honorary Fellow</t>
  </si>
  <si>
    <t>Pediatric Critical Care</t>
  </si>
  <si>
    <t>R_1PgxzRjh0dXblWM</t>
  </si>
  <si>
    <t>144.92.31.224</t>
  </si>
  <si>
    <t>R_3n7r4IlYDSfAM6v</t>
  </si>
  <si>
    <t xml:space="preserve">T32 Primary Care Fellow </t>
  </si>
  <si>
    <t>Department of Family Medicine and Community Health/Kinesiology</t>
  </si>
  <si>
    <t>72.33.0.118</t>
  </si>
  <si>
    <t>R_1nPCiKaHljgH4Pv</t>
  </si>
  <si>
    <t>Polina</t>
  </si>
  <si>
    <t>Beloborodova</t>
  </si>
  <si>
    <t>beloborodova@wisc.edu</t>
  </si>
  <si>
    <t>Center for Healthy Minds</t>
  </si>
  <si>
    <t>207.213.219.114</t>
  </si>
  <si>
    <t>R_7ER0RnBYMJ5QvVn</t>
  </si>
  <si>
    <t>Clerjuste</t>
  </si>
  <si>
    <t>clerjustE@wisc.edu</t>
  </si>
  <si>
    <t>RISE Postdoc</t>
  </si>
  <si>
    <t>Educational Psychology</t>
  </si>
  <si>
    <t>09</t>
  </si>
  <si>
    <t>Art Exhibit All</t>
  </si>
  <si>
    <t>Number</t>
  </si>
  <si>
    <t>Table?</t>
  </si>
  <si>
    <t>Poster Board?</t>
  </si>
  <si>
    <t>Easel on Table?</t>
  </si>
  <si>
    <t>?</t>
  </si>
  <si>
    <t>multiple</t>
  </si>
  <si>
    <t>1 for A4 paper</t>
  </si>
  <si>
    <t>a few</t>
  </si>
  <si>
    <t>Total Table Needs</t>
  </si>
  <si>
    <t>Ttoal Poster board Needs</t>
  </si>
  <si>
    <t>Total Tale Easel Needs</t>
  </si>
  <si>
    <t>multiple, some 8x10 easels, some for A4 papers, some for pictures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</si>
</sst>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b/>
      <sz val="11"/>
      <color indexed="8"/>
      <name val="Aptos Narrow"/>
      <scheme val="minor"/>
    </font>
  </fonts>
  <fills count="4">
    <fill>
      <patternFill patternType="none"/>
    </fill>
    <fill>
      <patternFill patternType="gray125"/>
    </fill>
    <fill>
      <patternFill patternType="solid">
        <fgColor indexed="22"/>
      </patternFill>
    </fill>
    <fill>
      <patternFill patternType="solid">
        <fgColor rgb="FFFFFF00"/>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style="thin">
        <color auto="1"/>
      </top>
      <bottom/>
      <diagonal/>
    </border>
    <border>
      <left style="medium">
        <color indexed="64"/>
      </left>
      <right/>
      <top style="thin">
        <color auto="1"/>
      </top>
      <bottom/>
      <diagonal/>
    </border>
    <border>
      <left/>
      <right style="medium">
        <color indexed="64"/>
      </right>
      <top style="thin">
        <color auto="1"/>
      </top>
      <bottom/>
      <diagonal/>
    </border>
  </borders>
  <cellStyleXfs count="1">
    <xf numFmtId="0" fontId="0" fillId="0" borderId="0"/>
  </cellStyleXfs>
  <cellXfs count="29">
    <xf numFmtId="0" fontId="0" fillId="0" borderId="0" xfId="0"/>
    <xf numFmtId="22" fontId="0" fillId="0" borderId="0" xfId="0" applyNumberFormat="1"/>
    <xf numFmtId="49" fontId="0" fillId="0" borderId="0" xfId="0" applyNumberFormat="1" applyAlignment="1">
      <alignment wrapText="1"/>
    </xf>
    <xf numFmtId="0" fontId="0" fillId="2" borderId="0" xfId="0" applyFill="1"/>
    <xf numFmtId="0" fontId="0" fillId="3" borderId="0" xfId="0" applyFill="1"/>
    <xf numFmtId="49" fontId="0" fillId="3" borderId="0" xfId="0" applyNumberFormat="1" applyFill="1" applyAlignment="1">
      <alignment wrapText="1"/>
    </xf>
    <xf numFmtId="0" fontId="0" fillId="2" borderId="1" xfId="0" applyFill="1" applyBorder="1"/>
    <xf numFmtId="0" fontId="0" fillId="2" borderId="2" xfId="0" applyFill="1" applyBorder="1"/>
    <xf numFmtId="0" fontId="0" fillId="2" borderId="3" xfId="0" applyFill="1" applyBorder="1"/>
    <xf numFmtId="0" fontId="0" fillId="0" borderId="4" xfId="0" applyBorder="1"/>
    <xf numFmtId="0" fontId="0" fillId="0" borderId="0" xfId="0" applyBorder="1"/>
    <xf numFmtId="0" fontId="0" fillId="0" borderId="5" xfId="0" applyBorder="1"/>
    <xf numFmtId="0" fontId="0" fillId="3" borderId="4" xfId="0" applyFill="1" applyBorder="1"/>
    <xf numFmtId="0" fontId="0" fillId="3" borderId="0" xfId="0" applyFill="1" applyBorder="1"/>
    <xf numFmtId="0" fontId="0" fillId="3" borderId="5" xfId="0" applyFill="1" applyBorder="1"/>
    <xf numFmtId="49" fontId="0" fillId="0" borderId="4" xfId="0" applyNumberFormat="1" applyBorder="1" applyAlignment="1">
      <alignment wrapText="1"/>
    </xf>
    <xf numFmtId="49" fontId="0" fillId="0" borderId="0" xfId="0" applyNumberFormat="1" applyBorder="1" applyAlignment="1">
      <alignment wrapText="1"/>
    </xf>
    <xf numFmtId="49" fontId="0" fillId="0" borderId="5" xfId="0" applyNumberFormat="1" applyBorder="1" applyAlignment="1">
      <alignment wrapText="1"/>
    </xf>
    <xf numFmtId="49" fontId="0" fillId="3" borderId="4" xfId="0" applyNumberFormat="1" applyFill="1" applyBorder="1" applyAlignment="1">
      <alignment wrapText="1"/>
    </xf>
    <xf numFmtId="49" fontId="0" fillId="3" borderId="5" xfId="0" applyNumberFormat="1" applyFill="1" applyBorder="1" applyAlignment="1">
      <alignment wrapText="1"/>
    </xf>
    <xf numFmtId="0" fontId="0" fillId="0" borderId="4" xfId="0" applyBorder="1" applyAlignment="1">
      <alignment wrapText="1"/>
    </xf>
    <xf numFmtId="0" fontId="0" fillId="0" borderId="0" xfId="0" applyBorder="1" applyAlignment="1">
      <alignment wrapText="1"/>
    </xf>
    <xf numFmtId="0" fontId="0" fillId="0" borderId="5" xfId="0" applyBorder="1" applyAlignment="1">
      <alignment wrapText="1"/>
    </xf>
    <xf numFmtId="0" fontId="0" fillId="0" borderId="6" xfId="0" applyBorder="1" applyAlignment="1">
      <alignment wrapText="1"/>
    </xf>
    <xf numFmtId="0" fontId="0" fillId="0" borderId="7" xfId="0" applyBorder="1" applyAlignment="1">
      <alignment wrapText="1"/>
    </xf>
    <xf numFmtId="0" fontId="0" fillId="0" borderId="8" xfId="0" applyBorder="1" applyAlignment="1">
      <alignment wrapText="1"/>
    </xf>
    <xf numFmtId="0" fontId="1" fillId="0" borderId="7" xfId="0" applyFont="1" applyBorder="1" applyAlignment="1">
      <alignment wrapText="1"/>
    </xf>
    <xf numFmtId="0" fontId="1" fillId="0" borderId="6" xfId="0" applyFont="1" applyBorder="1" applyAlignment="1">
      <alignment wrapText="1"/>
    </xf>
    <xf numFmtId="0" fontId="1" fillId="0" borderId="8"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10CB0-2E04-3947-B788-1AFC770CF5A9}">
  <dimension ref="A1:U27"/>
  <sheetViews>
    <sheetView tabSelected="1" workbookViewId="0">
      <pane ySplit="1" topLeftCell="A2" activePane="bottomLeft" state="frozen"/>
      <selection activeCell="K1" sqref="K1"/>
      <selection pane="bottomLeft" activeCell="F13" sqref="F13"/>
    </sheetView>
  </sheetViews>
  <sheetFormatPr baseColWidth="10" defaultRowHeight="15" x14ac:dyDescent="0.2"/>
  <cols>
    <col min="2" max="2" width="15.33203125" customWidth="1"/>
    <col min="7" max="7" width="33.83203125" customWidth="1"/>
    <col min="8" max="11" width="0" hidden="1" customWidth="1"/>
    <col min="12" max="12" width="67" style="9" customWidth="1"/>
    <col min="13" max="13" width="54.1640625" style="11" customWidth="1"/>
    <col min="14" max="18" width="0" hidden="1" customWidth="1"/>
    <col min="19" max="19" width="10.83203125" style="9"/>
    <col min="20" max="20" width="10.83203125" style="10"/>
    <col min="21" max="21" width="10.83203125" style="11"/>
  </cols>
  <sheetData>
    <row r="1" spans="1:21" x14ac:dyDescent="0.2">
      <c r="A1" t="s">
        <v>1231</v>
      </c>
      <c r="B1" s="3" t="s">
        <v>53</v>
      </c>
      <c r="C1" s="3" t="s">
        <v>54</v>
      </c>
      <c r="D1" s="3" t="s">
        <v>55</v>
      </c>
      <c r="E1" s="3" t="s">
        <v>56</v>
      </c>
      <c r="F1" s="3" t="s">
        <v>57</v>
      </c>
      <c r="G1" s="3" t="s">
        <v>58</v>
      </c>
      <c r="H1" s="3" t="s">
        <v>59</v>
      </c>
      <c r="I1" s="3" t="s">
        <v>60</v>
      </c>
      <c r="J1" s="3" t="s">
        <v>61</v>
      </c>
      <c r="K1" s="3" t="s">
        <v>60</v>
      </c>
      <c r="L1" s="6" t="s">
        <v>65</v>
      </c>
      <c r="M1" s="8" t="s">
        <v>66</v>
      </c>
      <c r="N1" s="3" t="s">
        <v>35</v>
      </c>
      <c r="O1" s="3" t="s">
        <v>36</v>
      </c>
      <c r="P1" s="3" t="s">
        <v>37</v>
      </c>
      <c r="Q1" s="3" t="s">
        <v>38</v>
      </c>
      <c r="R1" s="3" t="s">
        <v>1230</v>
      </c>
      <c r="S1" s="6" t="s">
        <v>1232</v>
      </c>
      <c r="T1" s="7" t="s">
        <v>1233</v>
      </c>
      <c r="U1" s="8" t="s">
        <v>1234</v>
      </c>
    </row>
    <row r="2" spans="1:21" ht="32" x14ac:dyDescent="0.2">
      <c r="A2">
        <v>1</v>
      </c>
      <c r="B2" s="2" t="s">
        <v>828</v>
      </c>
      <c r="C2" s="2" t="s">
        <v>829</v>
      </c>
      <c r="D2" s="2" t="s">
        <v>830</v>
      </c>
      <c r="E2" s="2" t="s">
        <v>81</v>
      </c>
      <c r="F2" s="2" t="s">
        <v>91</v>
      </c>
      <c r="G2" s="2" t="s">
        <v>831</v>
      </c>
      <c r="H2" s="2" t="s">
        <v>67</v>
      </c>
      <c r="I2" s="2" t="s">
        <v>67</v>
      </c>
      <c r="J2" s="2" t="s">
        <v>74</v>
      </c>
      <c r="K2" s="2" t="s">
        <v>74</v>
      </c>
      <c r="L2" s="15" t="s">
        <v>835</v>
      </c>
      <c r="M2" s="17" t="s">
        <v>836</v>
      </c>
      <c r="N2" s="2" t="s">
        <v>67</v>
      </c>
      <c r="O2" s="2" t="s">
        <v>98</v>
      </c>
      <c r="P2" s="2" t="s">
        <v>141</v>
      </c>
      <c r="Q2" s="2" t="s">
        <v>73</v>
      </c>
      <c r="R2" t="s">
        <v>74</v>
      </c>
      <c r="S2" s="9">
        <v>0.5</v>
      </c>
      <c r="U2" s="11" t="s">
        <v>1236</v>
      </c>
    </row>
    <row r="3" spans="1:21" ht="64" x14ac:dyDescent="0.2">
      <c r="A3">
        <v>2</v>
      </c>
      <c r="B3" s="2" t="s">
        <v>187</v>
      </c>
      <c r="C3" s="2" t="s">
        <v>188</v>
      </c>
      <c r="D3" s="2" t="s">
        <v>189</v>
      </c>
      <c r="E3" s="2" t="s">
        <v>81</v>
      </c>
      <c r="F3" s="2" t="s">
        <v>82</v>
      </c>
      <c r="G3" s="2" t="s">
        <v>191</v>
      </c>
      <c r="H3" s="2" t="s">
        <v>70</v>
      </c>
      <c r="I3" s="2" t="s">
        <v>74</v>
      </c>
      <c r="J3" s="2" t="s">
        <v>67</v>
      </c>
      <c r="K3" s="2" t="s">
        <v>67</v>
      </c>
      <c r="L3" s="15" t="s">
        <v>364</v>
      </c>
      <c r="M3" s="17" t="s">
        <v>365</v>
      </c>
      <c r="N3" s="2" t="s">
        <v>67</v>
      </c>
      <c r="O3" s="2" t="s">
        <v>346</v>
      </c>
      <c r="P3" s="2" t="s">
        <v>142</v>
      </c>
      <c r="Q3" s="2" t="s">
        <v>73</v>
      </c>
      <c r="R3" t="s">
        <v>74</v>
      </c>
      <c r="S3" s="9">
        <v>0.5</v>
      </c>
      <c r="U3" s="11" t="s">
        <v>1236</v>
      </c>
    </row>
    <row r="4" spans="1:21" s="4" customFormat="1" ht="48" x14ac:dyDescent="0.2">
      <c r="A4" s="4">
        <v>3</v>
      </c>
      <c r="B4" s="5" t="s">
        <v>1202</v>
      </c>
      <c r="C4" s="5" t="s">
        <v>886</v>
      </c>
      <c r="D4" s="5" t="s">
        <v>887</v>
      </c>
      <c r="E4" s="5" t="s">
        <v>596</v>
      </c>
      <c r="F4" s="5" t="s">
        <v>126</v>
      </c>
      <c r="G4" s="5" t="s">
        <v>888</v>
      </c>
      <c r="H4" s="5" t="s">
        <v>67</v>
      </c>
      <c r="I4" s="5" t="s">
        <v>67</v>
      </c>
      <c r="J4" s="5" t="s">
        <v>74</v>
      </c>
      <c r="K4" s="5" t="s">
        <v>74</v>
      </c>
      <c r="L4" s="18" t="s">
        <v>67</v>
      </c>
      <c r="M4" s="19" t="s">
        <v>67</v>
      </c>
      <c r="N4" s="5" t="s">
        <v>67</v>
      </c>
      <c r="O4" s="5" t="s">
        <v>184</v>
      </c>
      <c r="P4" s="5" t="s">
        <v>141</v>
      </c>
      <c r="Q4" s="5" t="s">
        <v>73</v>
      </c>
      <c r="R4" s="4" t="s">
        <v>74</v>
      </c>
      <c r="S4" s="12"/>
      <c r="T4" s="13"/>
      <c r="U4" s="14"/>
    </row>
    <row r="5" spans="1:21" ht="48" x14ac:dyDescent="0.2">
      <c r="A5">
        <v>4</v>
      </c>
      <c r="B5" s="2" t="s">
        <v>1063</v>
      </c>
      <c r="C5" s="2" t="s">
        <v>1064</v>
      </c>
      <c r="D5" s="2" t="s">
        <v>1065</v>
      </c>
      <c r="E5" s="2" t="s">
        <v>1070</v>
      </c>
      <c r="F5" s="2" t="s">
        <v>126</v>
      </c>
      <c r="G5" s="2" t="s">
        <v>256</v>
      </c>
      <c r="H5" s="2" t="s">
        <v>67</v>
      </c>
      <c r="I5" s="2" t="s">
        <v>67</v>
      </c>
      <c r="J5" s="2" t="s">
        <v>74</v>
      </c>
      <c r="K5" s="2" t="s">
        <v>74</v>
      </c>
      <c r="L5" s="15" t="s">
        <v>1072</v>
      </c>
      <c r="M5" s="17" t="s">
        <v>1073</v>
      </c>
      <c r="N5" s="2" t="s">
        <v>67</v>
      </c>
      <c r="O5" s="2" t="s">
        <v>242</v>
      </c>
      <c r="P5" s="2" t="s">
        <v>141</v>
      </c>
      <c r="Q5" s="2" t="s">
        <v>73</v>
      </c>
      <c r="R5" t="s">
        <v>74</v>
      </c>
      <c r="S5" s="9">
        <v>0.25</v>
      </c>
    </row>
    <row r="6" spans="1:21" s="4" customFormat="1" ht="32" x14ac:dyDescent="0.2">
      <c r="A6" s="4">
        <v>5</v>
      </c>
      <c r="B6" s="5" t="s">
        <v>988</v>
      </c>
      <c r="C6" s="5" t="s">
        <v>989</v>
      </c>
      <c r="D6" s="5" t="s">
        <v>990</v>
      </c>
      <c r="E6" s="5" t="s">
        <v>67</v>
      </c>
      <c r="F6" s="5" t="s">
        <v>82</v>
      </c>
      <c r="G6" s="5" t="s">
        <v>991</v>
      </c>
      <c r="H6" s="5" t="s">
        <v>67</v>
      </c>
      <c r="I6" s="5" t="s">
        <v>67</v>
      </c>
      <c r="J6" s="5" t="s">
        <v>74</v>
      </c>
      <c r="K6" s="5" t="s">
        <v>74</v>
      </c>
      <c r="L6" s="18" t="s">
        <v>67</v>
      </c>
      <c r="M6" s="19" t="s">
        <v>67</v>
      </c>
      <c r="N6" s="5" t="s">
        <v>67</v>
      </c>
      <c r="O6" s="5" t="s">
        <v>184</v>
      </c>
      <c r="P6" s="5" t="s">
        <v>141</v>
      </c>
      <c r="Q6" s="5" t="s">
        <v>73</v>
      </c>
      <c r="R6" s="4" t="s">
        <v>74</v>
      </c>
      <c r="S6" s="12"/>
      <c r="T6" s="13"/>
      <c r="U6" s="14"/>
    </row>
    <row r="7" spans="1:21" ht="48" x14ac:dyDescent="0.2">
      <c r="A7">
        <v>6</v>
      </c>
      <c r="B7" s="2" t="s">
        <v>958</v>
      </c>
      <c r="C7" s="2" t="s">
        <v>959</v>
      </c>
      <c r="D7" s="2" t="s">
        <v>960</v>
      </c>
      <c r="E7" s="2" t="s">
        <v>67</v>
      </c>
      <c r="F7" s="2" t="s">
        <v>82</v>
      </c>
      <c r="G7" s="2" t="s">
        <v>961</v>
      </c>
      <c r="H7" s="2" t="s">
        <v>67</v>
      </c>
      <c r="I7" s="2" t="s">
        <v>67</v>
      </c>
      <c r="J7" s="2" t="s">
        <v>71</v>
      </c>
      <c r="K7" s="2" t="s">
        <v>74</v>
      </c>
      <c r="L7" s="15" t="s">
        <v>962</v>
      </c>
      <c r="M7" s="17" t="s">
        <v>963</v>
      </c>
      <c r="N7" s="2" t="s">
        <v>67</v>
      </c>
      <c r="O7" s="2" t="s">
        <v>184</v>
      </c>
      <c r="P7" s="2" t="s">
        <v>141</v>
      </c>
      <c r="Q7" s="2" t="s">
        <v>73</v>
      </c>
      <c r="R7" t="s">
        <v>74</v>
      </c>
      <c r="S7" s="9">
        <v>0.5</v>
      </c>
      <c r="U7" s="11" t="s">
        <v>1238</v>
      </c>
    </row>
    <row r="8" spans="1:21" ht="48" x14ac:dyDescent="0.2">
      <c r="A8">
        <v>7</v>
      </c>
      <c r="B8" s="2" t="s">
        <v>391</v>
      </c>
      <c r="C8" s="2" t="s">
        <v>392</v>
      </c>
      <c r="D8" s="2" t="s">
        <v>393</v>
      </c>
      <c r="E8" s="2" t="s">
        <v>67</v>
      </c>
      <c r="F8" s="2" t="s">
        <v>126</v>
      </c>
      <c r="G8" s="2" t="s">
        <v>394</v>
      </c>
      <c r="H8" s="2" t="s">
        <v>70</v>
      </c>
      <c r="I8" s="2" t="s">
        <v>74</v>
      </c>
      <c r="J8" s="2" t="s">
        <v>67</v>
      </c>
      <c r="K8" s="2" t="s">
        <v>67</v>
      </c>
      <c r="L8" s="15" t="s">
        <v>398</v>
      </c>
      <c r="M8" s="17" t="s">
        <v>399</v>
      </c>
      <c r="N8" s="2" t="s">
        <v>67</v>
      </c>
      <c r="O8" s="2" t="s">
        <v>346</v>
      </c>
      <c r="P8" s="2" t="s">
        <v>142</v>
      </c>
      <c r="Q8" s="2" t="s">
        <v>73</v>
      </c>
      <c r="R8" t="s">
        <v>74</v>
      </c>
      <c r="S8" s="9">
        <v>0.25</v>
      </c>
      <c r="U8" s="11">
        <v>1</v>
      </c>
    </row>
    <row r="9" spans="1:21" s="4" customFormat="1" ht="32" x14ac:dyDescent="0.2">
      <c r="A9" s="4">
        <v>8</v>
      </c>
      <c r="B9" s="5" t="s">
        <v>299</v>
      </c>
      <c r="C9" s="5" t="s">
        <v>300</v>
      </c>
      <c r="D9" s="5" t="s">
        <v>307</v>
      </c>
      <c r="E9" s="5" t="s">
        <v>302</v>
      </c>
      <c r="F9" s="5" t="s">
        <v>303</v>
      </c>
      <c r="G9" s="5" t="s">
        <v>309</v>
      </c>
      <c r="H9" s="5" t="s">
        <v>70</v>
      </c>
      <c r="I9" s="5" t="s">
        <v>74</v>
      </c>
      <c r="J9" s="5" t="s">
        <v>67</v>
      </c>
      <c r="K9" s="5" t="s">
        <v>67</v>
      </c>
      <c r="L9" s="18" t="s">
        <v>67</v>
      </c>
      <c r="M9" s="19" t="s">
        <v>67</v>
      </c>
      <c r="N9" s="5" t="s">
        <v>67</v>
      </c>
      <c r="O9" s="5" t="s">
        <v>455</v>
      </c>
      <c r="P9" s="5" t="s">
        <v>142</v>
      </c>
      <c r="Q9" s="5" t="s">
        <v>73</v>
      </c>
      <c r="R9" s="4" t="s">
        <v>74</v>
      </c>
      <c r="S9" s="12"/>
      <c r="T9" s="13"/>
      <c r="U9" s="14"/>
    </row>
    <row r="10" spans="1:21" ht="32" x14ac:dyDescent="0.2">
      <c r="A10">
        <v>9</v>
      </c>
      <c r="B10" s="2" t="s">
        <v>614</v>
      </c>
      <c r="C10" s="2" t="s">
        <v>615</v>
      </c>
      <c r="D10" s="2" t="s">
        <v>616</v>
      </c>
      <c r="E10" s="2" t="s">
        <v>67</v>
      </c>
      <c r="F10" s="2" t="s">
        <v>237</v>
      </c>
      <c r="G10" s="2" t="s">
        <v>617</v>
      </c>
      <c r="H10" s="2" t="s">
        <v>67</v>
      </c>
      <c r="I10" s="2" t="s">
        <v>67</v>
      </c>
      <c r="J10" s="2" t="s">
        <v>74</v>
      </c>
      <c r="K10" s="2" t="s">
        <v>74</v>
      </c>
      <c r="L10" s="15" t="s">
        <v>621</v>
      </c>
      <c r="M10" s="17" t="s">
        <v>622</v>
      </c>
      <c r="N10" s="2" t="s">
        <v>67</v>
      </c>
      <c r="O10" s="2" t="s">
        <v>612</v>
      </c>
      <c r="P10" s="2" t="s">
        <v>142</v>
      </c>
      <c r="Q10" s="2" t="s">
        <v>73</v>
      </c>
      <c r="R10" t="s">
        <v>74</v>
      </c>
      <c r="S10" s="9">
        <v>0</v>
      </c>
      <c r="T10" s="10">
        <v>1</v>
      </c>
    </row>
    <row r="11" spans="1:21" ht="48" x14ac:dyDescent="0.2">
      <c r="A11">
        <v>10</v>
      </c>
      <c r="B11" s="2" t="s">
        <v>145</v>
      </c>
      <c r="C11" s="2" t="s">
        <v>146</v>
      </c>
      <c r="D11" s="2" t="s">
        <v>147</v>
      </c>
      <c r="E11" s="2" t="s">
        <v>67</v>
      </c>
      <c r="F11" s="2" t="s">
        <v>148</v>
      </c>
      <c r="G11" s="2" t="s">
        <v>149</v>
      </c>
      <c r="H11" s="2" t="s">
        <v>70</v>
      </c>
      <c r="I11" s="2" t="s">
        <v>74</v>
      </c>
      <c r="J11" s="2" t="s">
        <v>67</v>
      </c>
      <c r="K11" s="2" t="s">
        <v>67</v>
      </c>
      <c r="L11" s="15" t="s">
        <v>153</v>
      </c>
      <c r="M11" s="17" t="s">
        <v>154</v>
      </c>
      <c r="N11" s="2" t="s">
        <v>67</v>
      </c>
      <c r="O11" s="2" t="s">
        <v>141</v>
      </c>
      <c r="P11" s="2" t="s">
        <v>142</v>
      </c>
      <c r="Q11" s="2" t="s">
        <v>73</v>
      </c>
      <c r="R11" t="s">
        <v>74</v>
      </c>
      <c r="S11" s="9">
        <v>0.25</v>
      </c>
      <c r="U11" s="11" t="s">
        <v>1237</v>
      </c>
    </row>
    <row r="12" spans="1:21" ht="48" x14ac:dyDescent="0.2">
      <c r="A12">
        <v>11</v>
      </c>
      <c r="B12" s="2" t="s">
        <v>379</v>
      </c>
      <c r="C12" s="2" t="s">
        <v>380</v>
      </c>
      <c r="D12" s="2" t="s">
        <v>381</v>
      </c>
      <c r="E12" s="2" t="s">
        <v>81</v>
      </c>
      <c r="F12" s="2" t="s">
        <v>126</v>
      </c>
      <c r="G12" s="2" t="s">
        <v>382</v>
      </c>
      <c r="H12" s="2" t="s">
        <v>383</v>
      </c>
      <c r="I12" s="2" t="s">
        <v>74</v>
      </c>
      <c r="J12" s="2" t="s">
        <v>67</v>
      </c>
      <c r="K12" s="2" t="s">
        <v>67</v>
      </c>
      <c r="L12" s="15" t="s">
        <v>387</v>
      </c>
      <c r="M12" s="17" t="s">
        <v>388</v>
      </c>
      <c r="N12" s="2" t="s">
        <v>67</v>
      </c>
      <c r="O12" s="2" t="s">
        <v>346</v>
      </c>
      <c r="P12" s="2" t="s">
        <v>142</v>
      </c>
      <c r="Q12" s="2" t="s">
        <v>73</v>
      </c>
      <c r="R12" t="s">
        <v>74</v>
      </c>
      <c r="S12" s="9">
        <v>0.5</v>
      </c>
    </row>
    <row r="13" spans="1:21" ht="48" x14ac:dyDescent="0.2">
      <c r="A13">
        <v>12</v>
      </c>
      <c r="B13" s="2" t="s">
        <v>1100</v>
      </c>
      <c r="C13" s="2" t="s">
        <v>1101</v>
      </c>
      <c r="D13" s="2" t="s">
        <v>1102</v>
      </c>
      <c r="E13" s="2" t="s">
        <v>90</v>
      </c>
      <c r="F13" s="2" t="s">
        <v>316</v>
      </c>
      <c r="G13" s="2" t="s">
        <v>405</v>
      </c>
      <c r="H13" s="2" t="s">
        <v>67</v>
      </c>
      <c r="I13" s="2" t="s">
        <v>67</v>
      </c>
      <c r="J13" s="2" t="s">
        <v>74</v>
      </c>
      <c r="K13" s="2" t="s">
        <v>74</v>
      </c>
      <c r="L13" s="15" t="s">
        <v>1106</v>
      </c>
      <c r="M13" s="17" t="s">
        <v>1107</v>
      </c>
      <c r="N13" s="2" t="s">
        <v>67</v>
      </c>
      <c r="O13" s="2" t="s">
        <v>242</v>
      </c>
      <c r="P13" s="2" t="s">
        <v>141</v>
      </c>
      <c r="Q13" s="2" t="s">
        <v>73</v>
      </c>
      <c r="R13" t="s">
        <v>74</v>
      </c>
      <c r="S13" s="9">
        <v>0.25</v>
      </c>
    </row>
    <row r="14" spans="1:21" ht="32" x14ac:dyDescent="0.2">
      <c r="A14">
        <v>13</v>
      </c>
      <c r="B14" s="2" t="s">
        <v>368</v>
      </c>
      <c r="C14" s="2" t="s">
        <v>369</v>
      </c>
      <c r="D14" s="2" t="s">
        <v>370</v>
      </c>
      <c r="E14" s="2" t="s">
        <v>90</v>
      </c>
      <c r="F14" s="2" t="s">
        <v>82</v>
      </c>
      <c r="G14" s="2" t="s">
        <v>371</v>
      </c>
      <c r="H14" s="2" t="s">
        <v>70</v>
      </c>
      <c r="I14" s="2" t="s">
        <v>74</v>
      </c>
      <c r="J14" s="2" t="s">
        <v>67</v>
      </c>
      <c r="K14" s="2" t="s">
        <v>67</v>
      </c>
      <c r="L14" s="15" t="s">
        <v>375</v>
      </c>
      <c r="M14" s="17" t="s">
        <v>376</v>
      </c>
      <c r="N14" s="2" t="s">
        <v>67</v>
      </c>
      <c r="O14" s="2" t="s">
        <v>346</v>
      </c>
      <c r="P14" s="2" t="s">
        <v>142</v>
      </c>
      <c r="Q14" s="2" t="s">
        <v>73</v>
      </c>
      <c r="R14" t="s">
        <v>74</v>
      </c>
      <c r="S14" s="9">
        <v>0.5</v>
      </c>
      <c r="U14" s="11" t="s">
        <v>1236</v>
      </c>
    </row>
    <row r="15" spans="1:21" ht="32" x14ac:dyDescent="0.2">
      <c r="A15">
        <v>14</v>
      </c>
      <c r="B15" s="2" t="s">
        <v>809</v>
      </c>
      <c r="C15" s="2" t="s">
        <v>810</v>
      </c>
      <c r="D15" s="2" t="s">
        <v>811</v>
      </c>
      <c r="E15" s="2" t="s">
        <v>81</v>
      </c>
      <c r="F15" s="2" t="s">
        <v>82</v>
      </c>
      <c r="G15" s="2" t="s">
        <v>812</v>
      </c>
      <c r="H15" s="2" t="s">
        <v>67</v>
      </c>
      <c r="I15" s="2" t="s">
        <v>67</v>
      </c>
      <c r="J15" s="2" t="s">
        <v>74</v>
      </c>
      <c r="K15" s="2" t="s">
        <v>74</v>
      </c>
      <c r="L15" s="15" t="s">
        <v>816</v>
      </c>
      <c r="M15" s="17" t="s">
        <v>817</v>
      </c>
      <c r="N15" s="2" t="s">
        <v>67</v>
      </c>
      <c r="O15" s="2" t="s">
        <v>796</v>
      </c>
      <c r="P15" s="2" t="s">
        <v>141</v>
      </c>
      <c r="Q15" s="2" t="s">
        <v>73</v>
      </c>
      <c r="R15" t="s">
        <v>74</v>
      </c>
      <c r="S15" s="9">
        <v>0.25</v>
      </c>
      <c r="U15" s="11">
        <v>1</v>
      </c>
    </row>
    <row r="16" spans="1:21" ht="48" x14ac:dyDescent="0.2">
      <c r="A16">
        <v>15</v>
      </c>
      <c r="B16" s="2" t="s">
        <v>978</v>
      </c>
      <c r="C16" s="2" t="s">
        <v>979</v>
      </c>
      <c r="D16" s="2" t="s">
        <v>980</v>
      </c>
      <c r="E16" s="2" t="s">
        <v>160</v>
      </c>
      <c r="F16" s="2" t="s">
        <v>126</v>
      </c>
      <c r="G16" s="2" t="s">
        <v>266</v>
      </c>
      <c r="H16" s="2" t="s">
        <v>67</v>
      </c>
      <c r="I16" s="2" t="s">
        <v>67</v>
      </c>
      <c r="J16" s="2" t="s">
        <v>74</v>
      </c>
      <c r="K16" s="2" t="s">
        <v>74</v>
      </c>
      <c r="L16" s="15" t="s">
        <v>984</v>
      </c>
      <c r="M16" s="17" t="s">
        <v>985</v>
      </c>
      <c r="N16" s="2" t="s">
        <v>67</v>
      </c>
      <c r="O16" s="2" t="s">
        <v>184</v>
      </c>
      <c r="P16" s="2" t="s">
        <v>141</v>
      </c>
      <c r="Q16" s="2" t="s">
        <v>73</v>
      </c>
      <c r="R16" t="s">
        <v>74</v>
      </c>
      <c r="S16" s="9">
        <v>0.5</v>
      </c>
    </row>
    <row r="17" spans="1:21" s="4" customFormat="1" ht="48" x14ac:dyDescent="0.2">
      <c r="A17" s="4">
        <v>16</v>
      </c>
      <c r="B17" s="5" t="s">
        <v>585</v>
      </c>
      <c r="C17" s="5" t="s">
        <v>586</v>
      </c>
      <c r="D17" s="5" t="s">
        <v>587</v>
      </c>
      <c r="E17" s="5" t="s">
        <v>588</v>
      </c>
      <c r="F17" s="5" t="s">
        <v>589</v>
      </c>
      <c r="G17" s="5" t="s">
        <v>590</v>
      </c>
      <c r="H17" s="5" t="s">
        <v>71</v>
      </c>
      <c r="I17" s="5" t="s">
        <v>74</v>
      </c>
      <c r="J17" s="5" t="s">
        <v>67</v>
      </c>
      <c r="K17" s="5" t="s">
        <v>67</v>
      </c>
      <c r="L17" s="18" t="s">
        <v>67</v>
      </c>
      <c r="M17" s="19" t="s">
        <v>67</v>
      </c>
      <c r="N17" s="5" t="s">
        <v>67</v>
      </c>
      <c r="O17" s="5" t="s">
        <v>184</v>
      </c>
      <c r="P17" s="5" t="s">
        <v>142</v>
      </c>
      <c r="Q17" s="5" t="s">
        <v>73</v>
      </c>
      <c r="R17" s="4" t="s">
        <v>74</v>
      </c>
      <c r="S17" s="12"/>
      <c r="T17" s="13"/>
      <c r="U17" s="14"/>
    </row>
    <row r="18" spans="1:21" ht="32" x14ac:dyDescent="0.2">
      <c r="A18">
        <v>17</v>
      </c>
      <c r="B18" s="2" t="s">
        <v>277</v>
      </c>
      <c r="C18" s="2" t="s">
        <v>278</v>
      </c>
      <c r="D18" s="2" t="s">
        <v>279</v>
      </c>
      <c r="E18" s="2" t="s">
        <v>67</v>
      </c>
      <c r="F18" s="2" t="s">
        <v>82</v>
      </c>
      <c r="G18" s="2" t="s">
        <v>280</v>
      </c>
      <c r="H18" s="2" t="s">
        <v>70</v>
      </c>
      <c r="I18" s="2" t="s">
        <v>74</v>
      </c>
      <c r="J18" s="2" t="s">
        <v>67</v>
      </c>
      <c r="K18" s="2" t="s">
        <v>67</v>
      </c>
      <c r="L18" s="15" t="s">
        <v>284</v>
      </c>
      <c r="M18" s="17" t="s">
        <v>285</v>
      </c>
      <c r="N18" s="2" t="s">
        <v>67</v>
      </c>
      <c r="O18" s="2" t="s">
        <v>242</v>
      </c>
      <c r="P18" s="2" t="s">
        <v>142</v>
      </c>
      <c r="Q18" s="2" t="s">
        <v>73</v>
      </c>
      <c r="R18" t="s">
        <v>74</v>
      </c>
      <c r="S18" s="9">
        <v>0</v>
      </c>
      <c r="T18" s="10">
        <v>1</v>
      </c>
    </row>
    <row r="19" spans="1:21" ht="32" x14ac:dyDescent="0.2">
      <c r="A19">
        <v>18</v>
      </c>
      <c r="B19" s="2" t="s">
        <v>1033</v>
      </c>
      <c r="C19" s="2" t="s">
        <v>1034</v>
      </c>
      <c r="D19" s="2" t="s">
        <v>1035</v>
      </c>
      <c r="E19" s="2" t="s">
        <v>125</v>
      </c>
      <c r="F19" s="2" t="s">
        <v>308</v>
      </c>
      <c r="G19" s="2" t="s">
        <v>256</v>
      </c>
      <c r="H19" s="2" t="s">
        <v>67</v>
      </c>
      <c r="I19" s="2" t="s">
        <v>67</v>
      </c>
      <c r="J19" s="2" t="s">
        <v>74</v>
      </c>
      <c r="K19" s="2" t="s">
        <v>74</v>
      </c>
      <c r="L19" s="15" t="s">
        <v>1039</v>
      </c>
      <c r="M19" s="17" t="s">
        <v>1040</v>
      </c>
      <c r="N19" s="2" t="s">
        <v>67</v>
      </c>
      <c r="O19" s="2" t="s">
        <v>242</v>
      </c>
      <c r="P19" s="2" t="s">
        <v>141</v>
      </c>
      <c r="Q19" s="2" t="s">
        <v>73</v>
      </c>
      <c r="R19" t="s">
        <v>74</v>
      </c>
      <c r="S19" s="15" t="s">
        <v>1235</v>
      </c>
      <c r="T19" s="16" t="s">
        <v>1235</v>
      </c>
      <c r="U19" s="17" t="s">
        <v>1235</v>
      </c>
    </row>
    <row r="20" spans="1:21" ht="32" x14ac:dyDescent="0.2">
      <c r="A20">
        <v>19</v>
      </c>
      <c r="B20" s="2" t="s">
        <v>478</v>
      </c>
      <c r="C20" s="2" t="s">
        <v>479</v>
      </c>
      <c r="D20" s="2" t="s">
        <v>480</v>
      </c>
      <c r="E20" s="2" t="s">
        <v>481</v>
      </c>
      <c r="F20" s="2" t="s">
        <v>450</v>
      </c>
      <c r="G20" s="2" t="s">
        <v>482</v>
      </c>
      <c r="H20" s="2" t="s">
        <v>383</v>
      </c>
      <c r="I20" s="2" t="s">
        <v>74</v>
      </c>
      <c r="J20" s="2" t="s">
        <v>67</v>
      </c>
      <c r="K20" s="2" t="s">
        <v>67</v>
      </c>
      <c r="L20" s="15" t="s">
        <v>486</v>
      </c>
      <c r="M20" s="17" t="s">
        <v>487</v>
      </c>
      <c r="N20" s="2" t="s">
        <v>67</v>
      </c>
      <c r="O20" s="2" t="s">
        <v>455</v>
      </c>
      <c r="P20" s="2" t="s">
        <v>142</v>
      </c>
      <c r="Q20" s="2" t="s">
        <v>73</v>
      </c>
      <c r="R20" t="s">
        <v>74</v>
      </c>
      <c r="S20" s="9">
        <v>0.5</v>
      </c>
    </row>
    <row r="21" spans="1:21" ht="64" x14ac:dyDescent="0.2">
      <c r="A21">
        <v>20</v>
      </c>
      <c r="B21" s="2" t="s">
        <v>288</v>
      </c>
      <c r="C21" s="2" t="s">
        <v>289</v>
      </c>
      <c r="D21" s="2" t="s">
        <v>290</v>
      </c>
      <c r="E21" s="2" t="s">
        <v>67</v>
      </c>
      <c r="F21" s="2" t="s">
        <v>291</v>
      </c>
      <c r="G21" s="2" t="s">
        <v>280</v>
      </c>
      <c r="H21" s="2" t="s">
        <v>70</v>
      </c>
      <c r="I21" s="2" t="s">
        <v>74</v>
      </c>
      <c r="J21" s="2" t="s">
        <v>67</v>
      </c>
      <c r="K21" s="2" t="s">
        <v>67</v>
      </c>
      <c r="L21" s="15" t="s">
        <v>295</v>
      </c>
      <c r="M21" s="17" t="s">
        <v>296</v>
      </c>
      <c r="N21" s="2" t="s">
        <v>67</v>
      </c>
      <c r="O21" s="2" t="s">
        <v>242</v>
      </c>
      <c r="P21" s="2" t="s">
        <v>142</v>
      </c>
      <c r="Q21" s="2" t="s">
        <v>73</v>
      </c>
      <c r="R21" t="s">
        <v>74</v>
      </c>
      <c r="S21" s="9">
        <v>0.5</v>
      </c>
    </row>
    <row r="22" spans="1:21" ht="48" x14ac:dyDescent="0.2">
      <c r="A22">
        <v>21</v>
      </c>
      <c r="B22" s="2" t="s">
        <v>468</v>
      </c>
      <c r="C22" s="2" t="s">
        <v>469</v>
      </c>
      <c r="D22" s="2" t="s">
        <v>470</v>
      </c>
      <c r="E22" s="2" t="s">
        <v>90</v>
      </c>
      <c r="F22" s="2" t="s">
        <v>126</v>
      </c>
      <c r="G22" s="2" t="s">
        <v>371</v>
      </c>
      <c r="H22" s="2" t="s">
        <v>70</v>
      </c>
      <c r="I22" s="2" t="s">
        <v>74</v>
      </c>
      <c r="J22" s="2" t="s">
        <v>67</v>
      </c>
      <c r="K22" s="2" t="s">
        <v>67</v>
      </c>
      <c r="L22" s="15" t="s">
        <v>474</v>
      </c>
      <c r="M22" s="17" t="s">
        <v>475</v>
      </c>
      <c r="N22" s="2" t="s">
        <v>67</v>
      </c>
      <c r="O22" s="2" t="s">
        <v>455</v>
      </c>
      <c r="P22" s="2" t="s">
        <v>142</v>
      </c>
      <c r="Q22" s="2" t="s">
        <v>73</v>
      </c>
      <c r="R22" t="s">
        <v>74</v>
      </c>
      <c r="S22" s="9">
        <v>0</v>
      </c>
      <c r="T22" s="10">
        <v>1</v>
      </c>
    </row>
    <row r="23" spans="1:21" s="4" customFormat="1" ht="32" x14ac:dyDescent="0.2">
      <c r="A23" s="4">
        <v>22</v>
      </c>
      <c r="B23" s="5" t="s">
        <v>703</v>
      </c>
      <c r="C23" s="5" t="s">
        <v>704</v>
      </c>
      <c r="D23" s="5" t="s">
        <v>705</v>
      </c>
      <c r="E23" s="5" t="s">
        <v>706</v>
      </c>
      <c r="F23" s="5" t="s">
        <v>325</v>
      </c>
      <c r="G23" s="5" t="s">
        <v>707</v>
      </c>
      <c r="H23" s="5" t="s">
        <v>67</v>
      </c>
      <c r="I23" s="5" t="s">
        <v>67</v>
      </c>
      <c r="J23" s="5" t="s">
        <v>74</v>
      </c>
      <c r="K23" s="5" t="s">
        <v>74</v>
      </c>
      <c r="L23" s="18" t="s">
        <v>706</v>
      </c>
      <c r="M23" s="19" t="s">
        <v>706</v>
      </c>
      <c r="N23" s="5" t="s">
        <v>67</v>
      </c>
      <c r="O23" s="5" t="s">
        <v>700</v>
      </c>
      <c r="P23" s="5" t="s">
        <v>141</v>
      </c>
      <c r="Q23" s="5" t="s">
        <v>73</v>
      </c>
      <c r="R23" s="4" t="s">
        <v>74</v>
      </c>
      <c r="S23" s="12"/>
      <c r="T23" s="13"/>
      <c r="U23" s="14"/>
    </row>
    <row r="24" spans="1:21" ht="32" x14ac:dyDescent="0.2">
      <c r="A24">
        <v>23</v>
      </c>
      <c r="B24" s="2" t="s">
        <v>87</v>
      </c>
      <c r="C24" s="2" t="s">
        <v>88</v>
      </c>
      <c r="D24" s="2" t="s">
        <v>89</v>
      </c>
      <c r="E24" s="2" t="s">
        <v>90</v>
      </c>
      <c r="F24" s="2" t="s">
        <v>91</v>
      </c>
      <c r="G24" s="2" t="s">
        <v>92</v>
      </c>
      <c r="H24" s="2" t="s">
        <v>70</v>
      </c>
      <c r="I24" s="2" t="s">
        <v>74</v>
      </c>
      <c r="J24" s="2" t="s">
        <v>67</v>
      </c>
      <c r="K24" s="2" t="s">
        <v>67</v>
      </c>
      <c r="L24" s="15" t="s">
        <v>96</v>
      </c>
      <c r="M24" s="17" t="s">
        <v>97</v>
      </c>
      <c r="N24" s="2" t="s">
        <v>67</v>
      </c>
      <c r="O24" s="2" t="s">
        <v>98</v>
      </c>
      <c r="P24" s="2" t="s">
        <v>84</v>
      </c>
      <c r="Q24" s="2" t="s">
        <v>73</v>
      </c>
      <c r="R24" t="s">
        <v>74</v>
      </c>
      <c r="S24" s="15" t="s">
        <v>1235</v>
      </c>
      <c r="T24" s="16" t="s">
        <v>1235</v>
      </c>
      <c r="U24" s="17" t="s">
        <v>1235</v>
      </c>
    </row>
    <row r="25" spans="1:21" ht="32" x14ac:dyDescent="0.2">
      <c r="A25">
        <v>24</v>
      </c>
      <c r="B25" s="2" t="s">
        <v>778</v>
      </c>
      <c r="C25" s="2" t="s">
        <v>779</v>
      </c>
      <c r="D25" s="2" t="s">
        <v>780</v>
      </c>
      <c r="E25" s="2" t="s">
        <v>67</v>
      </c>
      <c r="F25" s="2" t="s">
        <v>781</v>
      </c>
      <c r="G25" s="2" t="s">
        <v>782</v>
      </c>
      <c r="H25" s="2" t="s">
        <v>67</v>
      </c>
      <c r="I25" s="2" t="s">
        <v>67</v>
      </c>
      <c r="J25" s="2" t="s">
        <v>74</v>
      </c>
      <c r="K25" s="2" t="s">
        <v>74</v>
      </c>
      <c r="L25" s="15" t="s">
        <v>786</v>
      </c>
      <c r="M25" s="17" t="s">
        <v>787</v>
      </c>
      <c r="N25" s="2" t="s">
        <v>67</v>
      </c>
      <c r="O25" s="2" t="s">
        <v>79</v>
      </c>
      <c r="P25" s="2" t="s">
        <v>141</v>
      </c>
      <c r="Q25" s="2" t="s">
        <v>73</v>
      </c>
      <c r="R25" t="s">
        <v>74</v>
      </c>
      <c r="S25" s="9">
        <v>0</v>
      </c>
      <c r="T25" s="10">
        <v>1</v>
      </c>
    </row>
    <row r="26" spans="1:21" s="23" customFormat="1" ht="112" x14ac:dyDescent="0.2">
      <c r="L26" s="24"/>
      <c r="M26" s="25"/>
      <c r="S26" s="26">
        <f>SUM(S2:S25)</f>
        <v>5.25</v>
      </c>
      <c r="T26" s="27">
        <f>SUM(T2:T25)</f>
        <v>4</v>
      </c>
      <c r="U26" s="28" t="s">
        <v>1242</v>
      </c>
    </row>
    <row r="27" spans="1:21" ht="36" customHeight="1" x14ac:dyDescent="0.2">
      <c r="S27" s="20" t="s">
        <v>1239</v>
      </c>
      <c r="T27" s="21" t="s">
        <v>1240</v>
      </c>
      <c r="U27" s="22" t="s">
        <v>1241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R164"/>
  <sheetViews>
    <sheetView workbookViewId="0">
      <selection sqref="A1:R140"/>
    </sheetView>
  </sheetViews>
  <sheetFormatPr baseColWidth="10" defaultColWidth="8.83203125" defaultRowHeight="15" x14ac:dyDescent="0.2"/>
  <cols>
    <col min="6" max="6" width="14.5" customWidth="1"/>
    <col min="7" max="7" width="29" customWidth="1"/>
    <col min="12" max="12" width="73.83203125" customWidth="1"/>
    <col min="13" max="13" width="78.6640625" customWidth="1"/>
  </cols>
  <sheetData>
    <row r="1" spans="1:18" x14ac:dyDescent="0.2">
      <c r="A1" t="s">
        <v>1231</v>
      </c>
      <c r="B1" s="3" t="s">
        <v>53</v>
      </c>
      <c r="C1" s="3" t="s">
        <v>54</v>
      </c>
      <c r="D1" s="3" t="s">
        <v>55</v>
      </c>
      <c r="E1" s="3" t="s">
        <v>56</v>
      </c>
      <c r="F1" s="3" t="s">
        <v>57</v>
      </c>
      <c r="G1" s="3" t="s">
        <v>58</v>
      </c>
      <c r="H1" s="3" t="s">
        <v>59</v>
      </c>
      <c r="I1" s="3" t="s">
        <v>60</v>
      </c>
      <c r="J1" s="3" t="s">
        <v>61</v>
      </c>
      <c r="K1" s="3" t="s">
        <v>60</v>
      </c>
      <c r="L1" s="3" t="s">
        <v>65</v>
      </c>
      <c r="M1" s="3" t="s">
        <v>66</v>
      </c>
      <c r="N1" s="3" t="s">
        <v>35</v>
      </c>
      <c r="O1" s="3" t="s">
        <v>36</v>
      </c>
      <c r="P1" s="3" t="s">
        <v>37</v>
      </c>
      <c r="Q1" s="3" t="s">
        <v>38</v>
      </c>
      <c r="R1" s="3" t="s">
        <v>1230</v>
      </c>
    </row>
    <row r="2" spans="1:18" ht="48" x14ac:dyDescent="0.2">
      <c r="A2">
        <v>1</v>
      </c>
      <c r="B2" s="2" t="s">
        <v>828</v>
      </c>
      <c r="C2" s="2" t="s">
        <v>829</v>
      </c>
      <c r="D2" s="2" t="s">
        <v>830</v>
      </c>
      <c r="E2" s="2" t="s">
        <v>81</v>
      </c>
      <c r="F2" s="2" t="s">
        <v>91</v>
      </c>
      <c r="G2" s="2" t="s">
        <v>831</v>
      </c>
      <c r="H2" s="2" t="s">
        <v>67</v>
      </c>
      <c r="I2" s="2" t="s">
        <v>67</v>
      </c>
      <c r="J2" s="2" t="s">
        <v>74</v>
      </c>
      <c r="K2" s="2" t="s">
        <v>74</v>
      </c>
      <c r="L2" s="2" t="s">
        <v>835</v>
      </c>
      <c r="M2" s="2" t="s">
        <v>836</v>
      </c>
      <c r="N2" s="2" t="s">
        <v>67</v>
      </c>
      <c r="O2" s="2" t="s">
        <v>98</v>
      </c>
      <c r="P2" s="2" t="s">
        <v>141</v>
      </c>
      <c r="Q2" s="2" t="s">
        <v>73</v>
      </c>
      <c r="R2" t="str">
        <f>IF(OR(I2="Yes", K2 = "Yes"), "Yes", "No")</f>
        <v>Yes</v>
      </c>
    </row>
    <row r="3" spans="1:18" ht="48" hidden="1" x14ac:dyDescent="0.2">
      <c r="B3" s="2" t="s">
        <v>101</v>
      </c>
      <c r="C3" s="2" t="s">
        <v>102</v>
      </c>
      <c r="D3" s="2" t="s">
        <v>103</v>
      </c>
      <c r="E3" s="2" t="s">
        <v>90</v>
      </c>
      <c r="F3" s="2" t="s">
        <v>82</v>
      </c>
      <c r="G3" s="2" t="s">
        <v>104</v>
      </c>
      <c r="H3" s="2" t="s">
        <v>70</v>
      </c>
      <c r="I3" s="2" t="s">
        <v>71</v>
      </c>
      <c r="J3" s="2" t="s">
        <v>67</v>
      </c>
      <c r="K3" s="2" t="s">
        <v>67</v>
      </c>
      <c r="L3" s="2" t="s">
        <v>67</v>
      </c>
      <c r="M3" s="2" t="s">
        <v>67</v>
      </c>
      <c r="N3" s="2" t="s">
        <v>67</v>
      </c>
      <c r="O3" s="2" t="s">
        <v>105</v>
      </c>
      <c r="P3" s="2" t="s">
        <v>84</v>
      </c>
      <c r="Q3" s="2" t="s">
        <v>73</v>
      </c>
      <c r="R3" t="str">
        <f>IF(OR(I3="Yes", K3 = "Yes"), "Yes", "No")</f>
        <v>No</v>
      </c>
    </row>
    <row r="4" spans="1:18" ht="32" hidden="1" x14ac:dyDescent="0.2">
      <c r="B4" s="2" t="s">
        <v>108</v>
      </c>
      <c r="C4" s="2" t="s">
        <v>109</v>
      </c>
      <c r="D4" s="2" t="s">
        <v>110</v>
      </c>
      <c r="E4" s="2" t="s">
        <v>67</v>
      </c>
      <c r="F4" s="2" t="s">
        <v>82</v>
      </c>
      <c r="G4" s="2" t="s">
        <v>111</v>
      </c>
      <c r="H4" s="2" t="s">
        <v>67</v>
      </c>
      <c r="I4" s="2" t="s">
        <v>67</v>
      </c>
      <c r="J4" s="2" t="s">
        <v>67</v>
      </c>
      <c r="K4" s="2" t="s">
        <v>67</v>
      </c>
      <c r="L4" s="2" t="s">
        <v>67</v>
      </c>
      <c r="M4" s="2" t="s">
        <v>67</v>
      </c>
      <c r="N4" s="2" t="s">
        <v>67</v>
      </c>
      <c r="O4" s="2" t="s">
        <v>83</v>
      </c>
      <c r="P4" s="2" t="s">
        <v>84</v>
      </c>
      <c r="Q4" s="2" t="s">
        <v>73</v>
      </c>
      <c r="R4" t="str">
        <f>IF(OR(I4="Yes", K4 = "Yes"), "Yes", "No")</f>
        <v>No</v>
      </c>
    </row>
    <row r="5" spans="1:18" ht="64" hidden="1" x14ac:dyDescent="0.2">
      <c r="B5" s="2" t="s">
        <v>114</v>
      </c>
      <c r="C5" s="2" t="s">
        <v>115</v>
      </c>
      <c r="D5" s="2" t="s">
        <v>116</v>
      </c>
      <c r="E5" s="2" t="s">
        <v>117</v>
      </c>
      <c r="F5" s="2" t="s">
        <v>118</v>
      </c>
      <c r="G5" s="2" t="s">
        <v>119</v>
      </c>
      <c r="H5" s="2" t="s">
        <v>70</v>
      </c>
      <c r="I5" s="2" t="s">
        <v>71</v>
      </c>
      <c r="J5" s="2" t="s">
        <v>67</v>
      </c>
      <c r="K5" s="2" t="s">
        <v>67</v>
      </c>
      <c r="L5" s="2" t="s">
        <v>67</v>
      </c>
      <c r="M5" s="2" t="s">
        <v>67</v>
      </c>
      <c r="N5" s="2" t="s">
        <v>67</v>
      </c>
      <c r="O5" s="2" t="s">
        <v>83</v>
      </c>
      <c r="P5" s="2" t="s">
        <v>84</v>
      </c>
      <c r="Q5" s="2" t="s">
        <v>73</v>
      </c>
      <c r="R5" t="str">
        <f>IF(OR(I5="Yes", K5 = "Yes"), "Yes", "No")</f>
        <v>No</v>
      </c>
    </row>
    <row r="6" spans="1:18" ht="48" hidden="1" x14ac:dyDescent="0.2">
      <c r="B6" s="2" t="s">
        <v>122</v>
      </c>
      <c r="C6" s="2" t="s">
        <v>123</v>
      </c>
      <c r="D6" s="2" t="s">
        <v>124</v>
      </c>
      <c r="E6" s="2" t="s">
        <v>125</v>
      </c>
      <c r="F6" s="2" t="s">
        <v>126</v>
      </c>
      <c r="G6" s="2" t="s">
        <v>127</v>
      </c>
      <c r="H6" s="2" t="s">
        <v>70</v>
      </c>
      <c r="I6" s="2" t="s">
        <v>71</v>
      </c>
      <c r="J6" s="2" t="s">
        <v>67</v>
      </c>
      <c r="K6" s="2" t="s">
        <v>67</v>
      </c>
      <c r="L6" s="2" t="s">
        <v>67</v>
      </c>
      <c r="M6" s="2" t="s">
        <v>67</v>
      </c>
      <c r="N6" s="2" t="s">
        <v>67</v>
      </c>
      <c r="O6" s="2" t="s">
        <v>131</v>
      </c>
      <c r="P6" s="2" t="s">
        <v>84</v>
      </c>
      <c r="Q6" s="2" t="s">
        <v>73</v>
      </c>
      <c r="R6" t="str">
        <f>IF(OR(I6="Yes", K6 = "Yes"), "Yes", "No")</f>
        <v>No</v>
      </c>
    </row>
    <row r="7" spans="1:18" ht="48" hidden="1" x14ac:dyDescent="0.2">
      <c r="B7" s="2" t="s">
        <v>134</v>
      </c>
      <c r="C7" s="2" t="s">
        <v>135</v>
      </c>
      <c r="D7" s="2" t="s">
        <v>136</v>
      </c>
      <c r="E7" s="2" t="s">
        <v>67</v>
      </c>
      <c r="F7" s="2" t="s">
        <v>82</v>
      </c>
      <c r="G7" s="2" t="s">
        <v>137</v>
      </c>
      <c r="H7" s="2" t="s">
        <v>70</v>
      </c>
      <c r="I7" s="2" t="s">
        <v>71</v>
      </c>
      <c r="J7" s="2" t="s">
        <v>67</v>
      </c>
      <c r="K7" s="2" t="s">
        <v>67</v>
      </c>
      <c r="L7" s="2" t="s">
        <v>67</v>
      </c>
      <c r="M7" s="2" t="s">
        <v>67</v>
      </c>
      <c r="N7" s="2" t="s">
        <v>67</v>
      </c>
      <c r="O7" s="2" t="s">
        <v>141</v>
      </c>
      <c r="P7" s="2" t="s">
        <v>142</v>
      </c>
      <c r="Q7" s="2" t="s">
        <v>73</v>
      </c>
      <c r="R7" t="str">
        <f>IF(OR(I7="Yes", K7 = "Yes"), "Yes", "No")</f>
        <v>No</v>
      </c>
    </row>
    <row r="8" spans="1:18" ht="48" hidden="1" x14ac:dyDescent="0.2">
      <c r="B8" s="2" t="s">
        <v>157</v>
      </c>
      <c r="C8" s="2" t="s">
        <v>158</v>
      </c>
      <c r="D8" s="2" t="s">
        <v>159</v>
      </c>
      <c r="E8" s="2" t="s">
        <v>160</v>
      </c>
      <c r="F8" s="2" t="s">
        <v>161</v>
      </c>
      <c r="G8" s="2" t="s">
        <v>162</v>
      </c>
      <c r="H8" s="2" t="s">
        <v>70</v>
      </c>
      <c r="I8" s="2" t="s">
        <v>71</v>
      </c>
      <c r="J8" s="2" t="s">
        <v>67</v>
      </c>
      <c r="K8" s="2" t="s">
        <v>67</v>
      </c>
      <c r="L8" s="2" t="s">
        <v>67</v>
      </c>
      <c r="M8" s="2" t="s">
        <v>67</v>
      </c>
      <c r="N8" s="2" t="s">
        <v>67</v>
      </c>
      <c r="O8" s="2" t="s">
        <v>105</v>
      </c>
      <c r="P8" s="2" t="s">
        <v>142</v>
      </c>
      <c r="Q8" s="2" t="s">
        <v>73</v>
      </c>
      <c r="R8" t="str">
        <f>IF(OR(I8="Yes", K8 = "Yes"), "Yes", "No")</f>
        <v>No</v>
      </c>
    </row>
    <row r="9" spans="1:18" ht="48" hidden="1" x14ac:dyDescent="0.2">
      <c r="B9" s="2" t="s">
        <v>168</v>
      </c>
      <c r="C9" s="2" t="s">
        <v>169</v>
      </c>
      <c r="D9" s="2" t="s">
        <v>170</v>
      </c>
      <c r="E9" s="2" t="s">
        <v>160</v>
      </c>
      <c r="F9" s="2" t="s">
        <v>126</v>
      </c>
      <c r="G9" s="2" t="s">
        <v>171</v>
      </c>
      <c r="H9" s="2" t="s">
        <v>70</v>
      </c>
      <c r="I9" s="2" t="s">
        <v>71</v>
      </c>
      <c r="J9" s="2" t="s">
        <v>67</v>
      </c>
      <c r="K9" s="2" t="s">
        <v>67</v>
      </c>
      <c r="L9" s="2" t="s">
        <v>67</v>
      </c>
      <c r="M9" s="2" t="s">
        <v>67</v>
      </c>
      <c r="N9" s="2" t="s">
        <v>67</v>
      </c>
      <c r="O9" s="2" t="s">
        <v>83</v>
      </c>
      <c r="P9" s="2" t="s">
        <v>142</v>
      </c>
      <c r="Q9" s="2" t="s">
        <v>73</v>
      </c>
      <c r="R9" t="str">
        <f>IF(OR(I9="Yes", K9 = "Yes"), "Yes", "No")</f>
        <v>No</v>
      </c>
    </row>
    <row r="10" spans="1:18" ht="48" hidden="1" x14ac:dyDescent="0.2">
      <c r="B10" s="2" t="s">
        <v>177</v>
      </c>
      <c r="C10" s="2" t="s">
        <v>178</v>
      </c>
      <c r="D10" s="2" t="s">
        <v>179</v>
      </c>
      <c r="E10" s="2" t="s">
        <v>125</v>
      </c>
      <c r="F10" s="2" t="s">
        <v>82</v>
      </c>
      <c r="G10" s="2" t="s">
        <v>180</v>
      </c>
      <c r="H10" s="2" t="s">
        <v>70</v>
      </c>
      <c r="I10" s="2" t="s">
        <v>71</v>
      </c>
      <c r="J10" s="2" t="s">
        <v>67</v>
      </c>
      <c r="K10" s="2" t="s">
        <v>67</v>
      </c>
      <c r="L10" s="2" t="s">
        <v>67</v>
      </c>
      <c r="M10" s="2" t="s">
        <v>67</v>
      </c>
      <c r="N10" s="2" t="s">
        <v>67</v>
      </c>
      <c r="O10" s="2" t="s">
        <v>184</v>
      </c>
      <c r="P10" s="2" t="s">
        <v>142</v>
      </c>
      <c r="Q10" s="2" t="s">
        <v>73</v>
      </c>
      <c r="R10" t="str">
        <f>IF(OR(I10="Yes", K10 = "Yes"), "Yes", "No")</f>
        <v>No</v>
      </c>
    </row>
    <row r="11" spans="1:18" ht="48" x14ac:dyDescent="0.2">
      <c r="A11">
        <v>2</v>
      </c>
      <c r="B11" s="2" t="s">
        <v>187</v>
      </c>
      <c r="C11" s="2" t="s">
        <v>188</v>
      </c>
      <c r="D11" s="2" t="s">
        <v>189</v>
      </c>
      <c r="E11" s="2" t="s">
        <v>81</v>
      </c>
      <c r="F11" s="2" t="s">
        <v>82</v>
      </c>
      <c r="G11" s="2" t="s">
        <v>191</v>
      </c>
      <c r="H11" s="2" t="s">
        <v>70</v>
      </c>
      <c r="I11" s="2" t="s">
        <v>74</v>
      </c>
      <c r="J11" s="2" t="s">
        <v>67</v>
      </c>
      <c r="K11" s="2" t="s">
        <v>67</v>
      </c>
      <c r="L11" s="2" t="s">
        <v>364</v>
      </c>
      <c r="M11" s="2" t="s">
        <v>365</v>
      </c>
      <c r="N11" s="2" t="s">
        <v>67</v>
      </c>
      <c r="O11" s="2" t="s">
        <v>346</v>
      </c>
      <c r="P11" s="2" t="s">
        <v>142</v>
      </c>
      <c r="Q11" s="2" t="s">
        <v>73</v>
      </c>
      <c r="R11" t="str">
        <f>IF(OR(I11="Yes", K11 = "Yes"), "Yes", "No")</f>
        <v>Yes</v>
      </c>
    </row>
    <row r="12" spans="1:18" ht="32" hidden="1" x14ac:dyDescent="0.2">
      <c r="B12" s="2" t="s">
        <v>195</v>
      </c>
      <c r="C12" s="2" t="s">
        <v>196</v>
      </c>
      <c r="D12" s="2" t="s">
        <v>197</v>
      </c>
      <c r="E12" s="2" t="s">
        <v>198</v>
      </c>
      <c r="F12" s="2" t="s">
        <v>82</v>
      </c>
      <c r="G12" s="2" t="s">
        <v>199</v>
      </c>
      <c r="H12" s="2" t="s">
        <v>70</v>
      </c>
      <c r="I12" s="2" t="s">
        <v>71</v>
      </c>
      <c r="J12" s="2" t="s">
        <v>67</v>
      </c>
      <c r="K12" s="2" t="s">
        <v>67</v>
      </c>
      <c r="L12" s="2" t="s">
        <v>67</v>
      </c>
      <c r="M12" s="2" t="s">
        <v>67</v>
      </c>
      <c r="N12" s="2" t="s">
        <v>67</v>
      </c>
      <c r="O12" s="2" t="s">
        <v>184</v>
      </c>
      <c r="P12" s="2" t="s">
        <v>142</v>
      </c>
      <c r="Q12" s="2" t="s">
        <v>73</v>
      </c>
      <c r="R12" t="str">
        <f>IF(OR(I12="Yes", K12 = "Yes"), "Yes", "No")</f>
        <v>No</v>
      </c>
    </row>
    <row r="13" spans="1:18" ht="48" hidden="1" x14ac:dyDescent="0.2">
      <c r="B13" s="2" t="s">
        <v>205</v>
      </c>
      <c r="C13" s="2" t="s">
        <v>206</v>
      </c>
      <c r="D13" s="2" t="s">
        <v>207</v>
      </c>
      <c r="E13" s="2" t="s">
        <v>208</v>
      </c>
      <c r="F13" s="2" t="s">
        <v>82</v>
      </c>
      <c r="G13" s="2" t="s">
        <v>209</v>
      </c>
      <c r="H13" s="2" t="s">
        <v>70</v>
      </c>
      <c r="I13" s="2" t="s">
        <v>71</v>
      </c>
      <c r="J13" s="2" t="s">
        <v>67</v>
      </c>
      <c r="K13" s="2" t="s">
        <v>67</v>
      </c>
      <c r="L13" s="2" t="s">
        <v>67</v>
      </c>
      <c r="M13" s="2" t="s">
        <v>67</v>
      </c>
      <c r="N13" s="2" t="s">
        <v>67</v>
      </c>
      <c r="O13" s="2" t="s">
        <v>184</v>
      </c>
      <c r="P13" s="2" t="s">
        <v>142</v>
      </c>
      <c r="Q13" s="2" t="s">
        <v>73</v>
      </c>
      <c r="R13" t="str">
        <f>IF(OR(I13="Yes", K13 = "Yes"), "Yes", "No")</f>
        <v>No</v>
      </c>
    </row>
    <row r="14" spans="1:18" ht="48" hidden="1" x14ac:dyDescent="0.2">
      <c r="B14" s="2" t="s">
        <v>215</v>
      </c>
      <c r="C14" s="2" t="s">
        <v>216</v>
      </c>
      <c r="D14" s="2" t="s">
        <v>217</v>
      </c>
      <c r="E14" s="2" t="s">
        <v>218</v>
      </c>
      <c r="F14" s="2" t="s">
        <v>219</v>
      </c>
      <c r="G14" s="2" t="s">
        <v>220</v>
      </c>
      <c r="H14" s="2" t="s">
        <v>70</v>
      </c>
      <c r="I14" s="2" t="s">
        <v>71</v>
      </c>
      <c r="J14" s="2" t="s">
        <v>67</v>
      </c>
      <c r="K14" s="2" t="s">
        <v>67</v>
      </c>
      <c r="L14" s="2" t="s">
        <v>67</v>
      </c>
      <c r="M14" s="2" t="s">
        <v>67</v>
      </c>
      <c r="N14" s="2" t="s">
        <v>67</v>
      </c>
      <c r="O14" s="2" t="s">
        <v>184</v>
      </c>
      <c r="P14" s="2" t="s">
        <v>142</v>
      </c>
      <c r="Q14" s="2" t="s">
        <v>73</v>
      </c>
      <c r="R14" t="str">
        <f>IF(OR(I14="Yes", K14 = "Yes"), "Yes", "No")</f>
        <v>No</v>
      </c>
    </row>
    <row r="15" spans="1:18" ht="32" hidden="1" x14ac:dyDescent="0.2">
      <c r="B15" s="2" t="s">
        <v>226</v>
      </c>
      <c r="C15" s="2" t="s">
        <v>227</v>
      </c>
      <c r="D15" s="2" t="s">
        <v>228</v>
      </c>
      <c r="E15" s="2" t="s">
        <v>67</v>
      </c>
      <c r="F15" s="2" t="s">
        <v>82</v>
      </c>
      <c r="G15" s="2" t="s">
        <v>104</v>
      </c>
      <c r="H15" s="2" t="s">
        <v>70</v>
      </c>
      <c r="I15" s="2" t="s">
        <v>71</v>
      </c>
      <c r="J15" s="2" t="s">
        <v>67</v>
      </c>
      <c r="K15" s="2" t="s">
        <v>67</v>
      </c>
      <c r="L15" s="2" t="s">
        <v>67</v>
      </c>
      <c r="M15" s="2" t="s">
        <v>67</v>
      </c>
      <c r="N15" s="2" t="s">
        <v>67</v>
      </c>
      <c r="O15" s="2" t="s">
        <v>184</v>
      </c>
      <c r="P15" s="2" t="s">
        <v>142</v>
      </c>
      <c r="Q15" s="2" t="s">
        <v>73</v>
      </c>
      <c r="R15" t="str">
        <f>IF(OR(I15="Yes", K15 = "Yes"), "Yes", "No")</f>
        <v>No</v>
      </c>
    </row>
    <row r="16" spans="1:18" ht="48" hidden="1" x14ac:dyDescent="0.2">
      <c r="B16" s="2" t="s">
        <v>234</v>
      </c>
      <c r="C16" s="2" t="s">
        <v>235</v>
      </c>
      <c r="D16" s="2" t="s">
        <v>236</v>
      </c>
      <c r="E16" s="2" t="s">
        <v>125</v>
      </c>
      <c r="F16" s="2" t="s">
        <v>237</v>
      </c>
      <c r="G16" s="2" t="s">
        <v>238</v>
      </c>
      <c r="H16" s="2" t="s">
        <v>70</v>
      </c>
      <c r="I16" s="2" t="s">
        <v>71</v>
      </c>
      <c r="J16" s="2" t="s">
        <v>67</v>
      </c>
      <c r="K16" s="2" t="s">
        <v>67</v>
      </c>
      <c r="L16" s="2" t="s">
        <v>67</v>
      </c>
      <c r="M16" s="2" t="s">
        <v>67</v>
      </c>
      <c r="N16" s="2" t="s">
        <v>67</v>
      </c>
      <c r="O16" s="2" t="s">
        <v>242</v>
      </c>
      <c r="P16" s="2" t="s">
        <v>142</v>
      </c>
      <c r="Q16" s="2" t="s">
        <v>73</v>
      </c>
      <c r="R16" t="str">
        <f>IF(OR(I16="Yes", K16 = "Yes"), "Yes", "No")</f>
        <v>No</v>
      </c>
    </row>
    <row r="17" spans="1:18" ht="48" hidden="1" x14ac:dyDescent="0.2">
      <c r="B17" s="2" t="s">
        <v>245</v>
      </c>
      <c r="C17" s="2" t="s">
        <v>246</v>
      </c>
      <c r="D17" s="2" t="s">
        <v>247</v>
      </c>
      <c r="E17" s="2" t="s">
        <v>90</v>
      </c>
      <c r="F17" s="2" t="s">
        <v>237</v>
      </c>
      <c r="G17" s="2" t="s">
        <v>248</v>
      </c>
      <c r="H17" s="2" t="s">
        <v>70</v>
      </c>
      <c r="I17" s="2" t="s">
        <v>71</v>
      </c>
      <c r="J17" s="2" t="s">
        <v>67</v>
      </c>
      <c r="K17" s="2" t="s">
        <v>67</v>
      </c>
      <c r="L17" s="2" t="s">
        <v>67</v>
      </c>
      <c r="M17" s="2" t="s">
        <v>67</v>
      </c>
      <c r="N17" s="2" t="s">
        <v>67</v>
      </c>
      <c r="O17" s="2" t="s">
        <v>184</v>
      </c>
      <c r="P17" s="2" t="s">
        <v>142</v>
      </c>
      <c r="Q17" s="2" t="s">
        <v>73</v>
      </c>
      <c r="R17" t="str">
        <f>IF(OR(I17="Yes", K17 = "Yes"), "Yes", "No")</f>
        <v>No</v>
      </c>
    </row>
    <row r="18" spans="1:18" ht="48" hidden="1" x14ac:dyDescent="0.2">
      <c r="B18" s="2" t="s">
        <v>254</v>
      </c>
      <c r="C18" s="2" t="s">
        <v>88</v>
      </c>
      <c r="D18" s="2" t="s">
        <v>255</v>
      </c>
      <c r="E18" s="2" t="s">
        <v>67</v>
      </c>
      <c r="F18" s="2" t="s">
        <v>82</v>
      </c>
      <c r="G18" s="2" t="s">
        <v>256</v>
      </c>
      <c r="H18" s="2" t="s">
        <v>70</v>
      </c>
      <c r="I18" s="2" t="s">
        <v>71</v>
      </c>
      <c r="J18" s="2" t="s">
        <v>67</v>
      </c>
      <c r="K18" s="2" t="s">
        <v>67</v>
      </c>
      <c r="L18" s="2" t="s">
        <v>67</v>
      </c>
      <c r="M18" s="2" t="s">
        <v>67</v>
      </c>
      <c r="N18" s="2" t="s">
        <v>67</v>
      </c>
      <c r="O18" s="2" t="s">
        <v>242</v>
      </c>
      <c r="P18" s="2" t="s">
        <v>142</v>
      </c>
      <c r="Q18" s="2" t="s">
        <v>73</v>
      </c>
      <c r="R18" t="str">
        <f>IF(OR(I18="Yes", K18 = "Yes"), "Yes", "No")</f>
        <v>No</v>
      </c>
    </row>
    <row r="19" spans="1:18" ht="48" hidden="1" x14ac:dyDescent="0.2">
      <c r="B19" s="2" t="s">
        <v>262</v>
      </c>
      <c r="C19" s="2" t="s">
        <v>263</v>
      </c>
      <c r="D19" s="2" t="s">
        <v>264</v>
      </c>
      <c r="E19" s="2" t="s">
        <v>90</v>
      </c>
      <c r="F19" s="2" t="s">
        <v>265</v>
      </c>
      <c r="G19" s="2" t="s">
        <v>266</v>
      </c>
      <c r="H19" s="2" t="s">
        <v>70</v>
      </c>
      <c r="I19" s="2" t="s">
        <v>71</v>
      </c>
      <c r="J19" s="2" t="s">
        <v>67</v>
      </c>
      <c r="K19" s="2" t="s">
        <v>67</v>
      </c>
      <c r="L19" s="2" t="s">
        <v>67</v>
      </c>
      <c r="M19" s="2" t="s">
        <v>67</v>
      </c>
      <c r="N19" s="2" t="s">
        <v>67</v>
      </c>
      <c r="O19" s="2" t="s">
        <v>242</v>
      </c>
      <c r="P19" s="2" t="s">
        <v>142</v>
      </c>
      <c r="Q19" s="2" t="s">
        <v>73</v>
      </c>
      <c r="R19" t="str">
        <f>IF(OR(I19="Yes", K19 = "Yes"), "Yes", "No")</f>
        <v>No</v>
      </c>
    </row>
    <row r="20" spans="1:18" ht="32" hidden="1" x14ac:dyDescent="0.2">
      <c r="B20" s="2" t="s">
        <v>272</v>
      </c>
      <c r="C20" s="2" t="s">
        <v>273</v>
      </c>
      <c r="D20" s="2" t="s">
        <v>274</v>
      </c>
      <c r="E20" s="2" t="s">
        <v>90</v>
      </c>
      <c r="F20" s="2" t="s">
        <v>219</v>
      </c>
      <c r="G20" s="2" t="s">
        <v>209</v>
      </c>
      <c r="H20" s="2" t="s">
        <v>67</v>
      </c>
      <c r="I20" s="2" t="s">
        <v>67</v>
      </c>
      <c r="J20" s="2" t="s">
        <v>67</v>
      </c>
      <c r="K20" s="2" t="s">
        <v>67</v>
      </c>
      <c r="L20" s="2" t="s">
        <v>67</v>
      </c>
      <c r="M20" s="2" t="s">
        <v>67</v>
      </c>
      <c r="N20" s="2" t="s">
        <v>67</v>
      </c>
      <c r="O20" s="2" t="s">
        <v>72</v>
      </c>
      <c r="P20" s="2" t="s">
        <v>142</v>
      </c>
      <c r="Q20" s="2" t="s">
        <v>73</v>
      </c>
      <c r="R20" t="str">
        <f>IF(OR(I20="Yes", K20 = "Yes"), "Yes", "No")</f>
        <v>No</v>
      </c>
    </row>
    <row r="21" spans="1:18" ht="48" x14ac:dyDescent="0.2">
      <c r="A21">
        <v>3</v>
      </c>
      <c r="B21" s="2" t="s">
        <v>1202</v>
      </c>
      <c r="C21" s="2" t="s">
        <v>886</v>
      </c>
      <c r="D21" s="2" t="s">
        <v>887</v>
      </c>
      <c r="E21" s="2" t="s">
        <v>596</v>
      </c>
      <c r="F21" s="2" t="s">
        <v>126</v>
      </c>
      <c r="G21" s="2" t="s">
        <v>888</v>
      </c>
      <c r="H21" s="2" t="s">
        <v>67</v>
      </c>
      <c r="I21" s="2" t="s">
        <v>67</v>
      </c>
      <c r="J21" s="2" t="s">
        <v>74</v>
      </c>
      <c r="K21" s="2" t="s">
        <v>74</v>
      </c>
      <c r="L21" s="2" t="s">
        <v>67</v>
      </c>
      <c r="M21" s="2" t="s">
        <v>67</v>
      </c>
      <c r="N21" s="2" t="s">
        <v>67</v>
      </c>
      <c r="O21" s="2" t="s">
        <v>184</v>
      </c>
      <c r="P21" s="2" t="s">
        <v>141</v>
      </c>
      <c r="Q21" s="2" t="s">
        <v>73</v>
      </c>
      <c r="R21" t="str">
        <f>IF(OR(I21="Yes", K21 = "Yes"), "Yes", "No")</f>
        <v>Yes</v>
      </c>
    </row>
    <row r="22" spans="1:18" ht="48" x14ac:dyDescent="0.2">
      <c r="B22" s="2" t="s">
        <v>1063</v>
      </c>
      <c r="C22" s="2" t="s">
        <v>1064</v>
      </c>
      <c r="D22" s="2" t="s">
        <v>1065</v>
      </c>
      <c r="E22" s="2" t="s">
        <v>1070</v>
      </c>
      <c r="F22" s="2" t="s">
        <v>126</v>
      </c>
      <c r="G22" s="2" t="s">
        <v>256</v>
      </c>
      <c r="H22" s="2" t="s">
        <v>67</v>
      </c>
      <c r="I22" s="2" t="s">
        <v>67</v>
      </c>
      <c r="J22" s="2" t="s">
        <v>74</v>
      </c>
      <c r="K22" s="2" t="s">
        <v>74</v>
      </c>
      <c r="L22" s="2" t="s">
        <v>1072</v>
      </c>
      <c r="M22" s="2" t="s">
        <v>1073</v>
      </c>
      <c r="N22" s="2" t="s">
        <v>67</v>
      </c>
      <c r="O22" s="2" t="s">
        <v>242</v>
      </c>
      <c r="P22" s="2" t="s">
        <v>141</v>
      </c>
      <c r="Q22" s="2" t="s">
        <v>73</v>
      </c>
      <c r="R22" t="str">
        <f>IF(OR(I22="Yes", K22 = "Yes"), "Yes", "No")</f>
        <v>Yes</v>
      </c>
    </row>
    <row r="23" spans="1:18" ht="32" hidden="1" x14ac:dyDescent="0.2">
      <c r="B23" s="2" t="s">
        <v>299</v>
      </c>
      <c r="C23" s="2" t="s">
        <v>300</v>
      </c>
      <c r="D23" s="2" t="s">
        <v>301</v>
      </c>
      <c r="E23" s="2" t="s">
        <v>302</v>
      </c>
      <c r="F23" s="2" t="s">
        <v>303</v>
      </c>
      <c r="G23" s="2" t="s">
        <v>304</v>
      </c>
      <c r="H23" s="2" t="s">
        <v>67</v>
      </c>
      <c r="I23" s="2" t="s">
        <v>67</v>
      </c>
      <c r="J23" s="2" t="s">
        <v>67</v>
      </c>
      <c r="K23" s="2" t="s">
        <v>67</v>
      </c>
      <c r="L23" s="2" t="s">
        <v>67</v>
      </c>
      <c r="M23" s="2" t="s">
        <v>67</v>
      </c>
      <c r="N23" s="2" t="s">
        <v>67</v>
      </c>
      <c r="O23" s="2" t="s">
        <v>305</v>
      </c>
      <c r="P23" s="2" t="s">
        <v>142</v>
      </c>
      <c r="Q23" s="2" t="s">
        <v>73</v>
      </c>
      <c r="R23" t="str">
        <f>IF(OR(I23="Yes", K23 = "Yes"), "Yes", "No")</f>
        <v>No</v>
      </c>
    </row>
    <row r="24" spans="1:18" ht="32" hidden="1" x14ac:dyDescent="0.2">
      <c r="B24" s="2" t="s">
        <v>299</v>
      </c>
      <c r="C24" s="2" t="s">
        <v>300</v>
      </c>
      <c r="D24" s="2" t="s">
        <v>307</v>
      </c>
      <c r="E24" s="2" t="s">
        <v>302</v>
      </c>
      <c r="F24" s="2" t="s">
        <v>308</v>
      </c>
      <c r="G24" s="2" t="s">
        <v>309</v>
      </c>
      <c r="H24" s="2" t="s">
        <v>67</v>
      </c>
      <c r="I24" s="2" t="s">
        <v>67</v>
      </c>
      <c r="J24" s="2" t="s">
        <v>67</v>
      </c>
      <c r="K24" s="2" t="s">
        <v>67</v>
      </c>
      <c r="L24" s="2" t="s">
        <v>67</v>
      </c>
      <c r="M24" s="2" t="s">
        <v>67</v>
      </c>
      <c r="N24" s="2" t="s">
        <v>67</v>
      </c>
      <c r="O24" s="2" t="s">
        <v>305</v>
      </c>
      <c r="P24" s="2" t="s">
        <v>142</v>
      </c>
      <c r="Q24" s="2" t="s">
        <v>73</v>
      </c>
      <c r="R24" t="str">
        <f>IF(OR(I24="Yes", K24 = "Yes"), "Yes", "No")</f>
        <v>No</v>
      </c>
    </row>
    <row r="25" spans="1:18" ht="48" hidden="1" x14ac:dyDescent="0.2">
      <c r="B25" s="2" t="s">
        <v>312</v>
      </c>
      <c r="C25" s="2" t="s">
        <v>313</v>
      </c>
      <c r="D25" s="2" t="s">
        <v>314</v>
      </c>
      <c r="E25" s="2" t="s">
        <v>315</v>
      </c>
      <c r="F25" s="2" t="s">
        <v>316</v>
      </c>
      <c r="G25" s="2" t="s">
        <v>317</v>
      </c>
      <c r="H25" s="2" t="s">
        <v>67</v>
      </c>
      <c r="I25" s="2" t="s">
        <v>67</v>
      </c>
      <c r="J25" s="2" t="s">
        <v>67</v>
      </c>
      <c r="K25" s="2" t="s">
        <v>67</v>
      </c>
      <c r="L25" s="2" t="s">
        <v>67</v>
      </c>
      <c r="M25" s="2" t="s">
        <v>67</v>
      </c>
      <c r="N25" s="2" t="s">
        <v>67</v>
      </c>
      <c r="O25" s="2" t="s">
        <v>305</v>
      </c>
      <c r="P25" s="2" t="s">
        <v>142</v>
      </c>
      <c r="Q25" s="2" t="s">
        <v>73</v>
      </c>
      <c r="R25" t="str">
        <f>IF(OR(I25="Yes", K25 = "Yes"), "Yes", "No")</f>
        <v>No</v>
      </c>
    </row>
    <row r="26" spans="1:18" ht="48" hidden="1" x14ac:dyDescent="0.2">
      <c r="B26" s="2" t="s">
        <v>312</v>
      </c>
      <c r="C26" s="2" t="s">
        <v>313</v>
      </c>
      <c r="D26" s="2" t="s">
        <v>314</v>
      </c>
      <c r="E26" s="2" t="s">
        <v>315</v>
      </c>
      <c r="F26" s="2" t="s">
        <v>319</v>
      </c>
      <c r="G26" s="2" t="s">
        <v>317</v>
      </c>
      <c r="H26" s="2" t="s">
        <v>67</v>
      </c>
      <c r="I26" s="2" t="s">
        <v>67</v>
      </c>
      <c r="J26" s="2" t="s">
        <v>67</v>
      </c>
      <c r="K26" s="2" t="s">
        <v>67</v>
      </c>
      <c r="L26" s="2" t="s">
        <v>67</v>
      </c>
      <c r="M26" s="2" t="s">
        <v>67</v>
      </c>
      <c r="N26" s="2" t="s">
        <v>67</v>
      </c>
      <c r="O26" s="2" t="s">
        <v>305</v>
      </c>
      <c r="P26" s="2" t="s">
        <v>142</v>
      </c>
      <c r="Q26" s="2" t="s">
        <v>73</v>
      </c>
      <c r="R26" t="str">
        <f>IF(OR(I26="Yes", K26 = "Yes"), "Yes", "No")</f>
        <v>No</v>
      </c>
    </row>
    <row r="27" spans="1:18" ht="48" hidden="1" x14ac:dyDescent="0.2">
      <c r="B27" s="2" t="s">
        <v>322</v>
      </c>
      <c r="C27" s="2" t="s">
        <v>323</v>
      </c>
      <c r="D27" s="2" t="s">
        <v>324</v>
      </c>
      <c r="E27" s="2" t="s">
        <v>67</v>
      </c>
      <c r="F27" s="2" t="s">
        <v>325</v>
      </c>
      <c r="G27" s="2" t="s">
        <v>326</v>
      </c>
      <c r="H27" s="2" t="s">
        <v>67</v>
      </c>
      <c r="I27" s="2" t="s">
        <v>67</v>
      </c>
      <c r="J27" s="2" t="s">
        <v>67</v>
      </c>
      <c r="K27" s="2" t="s">
        <v>67</v>
      </c>
      <c r="L27" s="2" t="s">
        <v>67</v>
      </c>
      <c r="M27" s="2" t="s">
        <v>67</v>
      </c>
      <c r="N27" s="2" t="s">
        <v>67</v>
      </c>
      <c r="O27" s="2" t="s">
        <v>305</v>
      </c>
      <c r="P27" s="2" t="s">
        <v>142</v>
      </c>
      <c r="Q27" s="2" t="s">
        <v>73</v>
      </c>
      <c r="R27" t="str">
        <f>IF(OR(I27="Yes", K27 = "Yes"), "Yes", "No")</f>
        <v>No</v>
      </c>
    </row>
    <row r="28" spans="1:18" ht="48" hidden="1" x14ac:dyDescent="0.2">
      <c r="B28" s="2" t="s">
        <v>328</v>
      </c>
      <c r="C28" s="2" t="s">
        <v>323</v>
      </c>
      <c r="D28" s="2" t="s">
        <v>324</v>
      </c>
      <c r="E28" s="2" t="s">
        <v>67</v>
      </c>
      <c r="F28" s="2" t="s">
        <v>82</v>
      </c>
      <c r="G28" s="2" t="s">
        <v>329</v>
      </c>
      <c r="H28" s="2" t="s">
        <v>67</v>
      </c>
      <c r="I28" s="2" t="s">
        <v>67</v>
      </c>
      <c r="J28" s="2" t="s">
        <v>67</v>
      </c>
      <c r="K28" s="2" t="s">
        <v>67</v>
      </c>
      <c r="L28" s="2" t="s">
        <v>67</v>
      </c>
      <c r="M28" s="2" t="s">
        <v>67</v>
      </c>
      <c r="N28" s="2" t="s">
        <v>67</v>
      </c>
      <c r="O28" s="2" t="s">
        <v>305</v>
      </c>
      <c r="P28" s="2" t="s">
        <v>142</v>
      </c>
      <c r="Q28" s="2" t="s">
        <v>73</v>
      </c>
      <c r="R28" t="str">
        <f>IF(OR(I28="Yes", K28 = "Yes"), "Yes", "No")</f>
        <v>No</v>
      </c>
    </row>
    <row r="29" spans="1:18" ht="48" hidden="1" x14ac:dyDescent="0.2">
      <c r="B29" s="2" t="s">
        <v>332</v>
      </c>
      <c r="C29" s="2" t="s">
        <v>109</v>
      </c>
      <c r="D29" s="2" t="s">
        <v>110</v>
      </c>
      <c r="E29" s="2" t="s">
        <v>333</v>
      </c>
      <c r="F29" s="2" t="s">
        <v>334</v>
      </c>
      <c r="G29" s="2" t="s">
        <v>111</v>
      </c>
      <c r="H29" s="2" t="s">
        <v>70</v>
      </c>
      <c r="I29" s="2" t="s">
        <v>71</v>
      </c>
      <c r="J29" s="2" t="s">
        <v>67</v>
      </c>
      <c r="K29" s="2" t="s">
        <v>67</v>
      </c>
      <c r="L29" s="2" t="s">
        <v>67</v>
      </c>
      <c r="M29" s="2" t="s">
        <v>67</v>
      </c>
      <c r="N29" s="2" t="s">
        <v>67</v>
      </c>
      <c r="O29" s="2" t="s">
        <v>305</v>
      </c>
      <c r="P29" s="2" t="s">
        <v>142</v>
      </c>
      <c r="Q29" s="2" t="s">
        <v>73</v>
      </c>
      <c r="R29" t="str">
        <f>IF(OR(I29="Yes", K29 = "Yes"), "Yes", "No")</f>
        <v>No</v>
      </c>
    </row>
    <row r="30" spans="1:18" ht="48" hidden="1" x14ac:dyDescent="0.2">
      <c r="B30" s="2" t="s">
        <v>340</v>
      </c>
      <c r="C30" s="2" t="s">
        <v>341</v>
      </c>
      <c r="D30" s="2" t="s">
        <v>342</v>
      </c>
      <c r="E30" s="2" t="s">
        <v>218</v>
      </c>
      <c r="F30" s="2" t="s">
        <v>126</v>
      </c>
      <c r="G30" s="2" t="s">
        <v>119</v>
      </c>
      <c r="H30" s="2" t="s">
        <v>70</v>
      </c>
      <c r="I30" s="2" t="s">
        <v>71</v>
      </c>
      <c r="J30" s="2" t="s">
        <v>67</v>
      </c>
      <c r="K30" s="2" t="s">
        <v>67</v>
      </c>
      <c r="L30" s="2" t="s">
        <v>67</v>
      </c>
      <c r="M30" s="2" t="s">
        <v>67</v>
      </c>
      <c r="N30" s="2" t="s">
        <v>67</v>
      </c>
      <c r="O30" s="2" t="s">
        <v>346</v>
      </c>
      <c r="P30" s="2" t="s">
        <v>142</v>
      </c>
      <c r="Q30" s="2" t="s">
        <v>73</v>
      </c>
      <c r="R30" t="str">
        <f>IF(OR(I30="Yes", K30 = "Yes"), "Yes", "No")</f>
        <v>No</v>
      </c>
    </row>
    <row r="31" spans="1:18" ht="48" hidden="1" x14ac:dyDescent="0.2">
      <c r="B31" s="2" t="s">
        <v>312</v>
      </c>
      <c r="C31" s="2" t="s">
        <v>313</v>
      </c>
      <c r="D31" s="2" t="s">
        <v>314</v>
      </c>
      <c r="E31" s="2" t="s">
        <v>315</v>
      </c>
      <c r="F31" s="2" t="s">
        <v>316</v>
      </c>
      <c r="G31" s="2" t="s">
        <v>317</v>
      </c>
      <c r="H31" s="2" t="s">
        <v>70</v>
      </c>
      <c r="I31" s="2" t="s">
        <v>71</v>
      </c>
      <c r="J31" s="2" t="s">
        <v>67</v>
      </c>
      <c r="K31" s="2" t="s">
        <v>67</v>
      </c>
      <c r="L31" s="2" t="s">
        <v>67</v>
      </c>
      <c r="M31" s="2" t="s">
        <v>67</v>
      </c>
      <c r="N31" s="2" t="s">
        <v>67</v>
      </c>
      <c r="O31" s="2" t="s">
        <v>346</v>
      </c>
      <c r="P31" s="2" t="s">
        <v>142</v>
      </c>
      <c r="Q31" s="2" t="s">
        <v>73</v>
      </c>
      <c r="R31" t="str">
        <f>IF(OR(I31="Yes", K31 = "Yes"), "Yes", "No")</f>
        <v>No</v>
      </c>
    </row>
    <row r="32" spans="1:18" ht="64" hidden="1" x14ac:dyDescent="0.2">
      <c r="B32" s="2" t="s">
        <v>354</v>
      </c>
      <c r="C32" s="2" t="s">
        <v>115</v>
      </c>
      <c r="D32" s="2" t="s">
        <v>116</v>
      </c>
      <c r="E32" s="2" t="s">
        <v>355</v>
      </c>
      <c r="F32" s="2" t="s">
        <v>118</v>
      </c>
      <c r="G32" s="2" t="s">
        <v>356</v>
      </c>
      <c r="H32" s="2" t="s">
        <v>70</v>
      </c>
      <c r="I32" s="2" t="s">
        <v>71</v>
      </c>
      <c r="J32" s="2" t="s">
        <v>67</v>
      </c>
      <c r="K32" s="2" t="s">
        <v>67</v>
      </c>
      <c r="L32" s="2" t="s">
        <v>67</v>
      </c>
      <c r="M32" s="2" t="s">
        <v>67</v>
      </c>
      <c r="N32" s="2" t="s">
        <v>67</v>
      </c>
      <c r="O32" s="2" t="s">
        <v>346</v>
      </c>
      <c r="P32" s="2" t="s">
        <v>142</v>
      </c>
      <c r="Q32" s="2" t="s">
        <v>73</v>
      </c>
      <c r="R32" t="str">
        <f>IF(OR(I32="Yes", K32 = "Yes"), "Yes", "No")</f>
        <v>No</v>
      </c>
    </row>
    <row r="33" spans="2:18" ht="32" x14ac:dyDescent="0.2">
      <c r="B33" s="2" t="s">
        <v>988</v>
      </c>
      <c r="C33" s="2" t="s">
        <v>989</v>
      </c>
      <c r="D33" s="2" t="s">
        <v>990</v>
      </c>
      <c r="E33" s="2" t="s">
        <v>67</v>
      </c>
      <c r="F33" s="2" t="s">
        <v>82</v>
      </c>
      <c r="G33" s="2" t="s">
        <v>991</v>
      </c>
      <c r="H33" s="2" t="s">
        <v>67</v>
      </c>
      <c r="I33" s="2" t="s">
        <v>67</v>
      </c>
      <c r="J33" s="2" t="s">
        <v>74</v>
      </c>
      <c r="K33" s="2" t="s">
        <v>74</v>
      </c>
      <c r="L33" s="2" t="s">
        <v>67</v>
      </c>
      <c r="M33" s="2" t="s">
        <v>67</v>
      </c>
      <c r="N33" s="2" t="s">
        <v>67</v>
      </c>
      <c r="O33" s="2" t="s">
        <v>184</v>
      </c>
      <c r="P33" s="2" t="s">
        <v>141</v>
      </c>
      <c r="Q33" s="2" t="s">
        <v>73</v>
      </c>
      <c r="R33" t="str">
        <f>IF(OR(I33="Yes", K33 = "Yes"), "Yes", "No")</f>
        <v>Yes</v>
      </c>
    </row>
    <row r="34" spans="2:18" ht="48" x14ac:dyDescent="0.2">
      <c r="B34" s="2" t="s">
        <v>958</v>
      </c>
      <c r="C34" s="2" t="s">
        <v>959</v>
      </c>
      <c r="D34" s="2" t="s">
        <v>960</v>
      </c>
      <c r="E34" s="2" t="s">
        <v>67</v>
      </c>
      <c r="F34" s="2" t="s">
        <v>82</v>
      </c>
      <c r="G34" s="2" t="s">
        <v>961</v>
      </c>
      <c r="H34" s="2" t="s">
        <v>67</v>
      </c>
      <c r="I34" s="2" t="s">
        <v>67</v>
      </c>
      <c r="J34" s="2" t="s">
        <v>71</v>
      </c>
      <c r="K34" s="2" t="s">
        <v>74</v>
      </c>
      <c r="L34" s="2" t="s">
        <v>962</v>
      </c>
      <c r="M34" s="2" t="s">
        <v>963</v>
      </c>
      <c r="N34" s="2" t="s">
        <v>67</v>
      </c>
      <c r="O34" s="2" t="s">
        <v>184</v>
      </c>
      <c r="P34" s="2" t="s">
        <v>141</v>
      </c>
      <c r="Q34" s="2" t="s">
        <v>73</v>
      </c>
      <c r="R34" t="str">
        <f>IF(OR(I34="Yes", K34 = "Yes"), "Yes", "No")</f>
        <v>Yes</v>
      </c>
    </row>
    <row r="35" spans="2:18" ht="48" x14ac:dyDescent="0.2">
      <c r="B35" s="2" t="s">
        <v>391</v>
      </c>
      <c r="C35" s="2" t="s">
        <v>392</v>
      </c>
      <c r="D35" s="2" t="s">
        <v>393</v>
      </c>
      <c r="E35" s="2" t="s">
        <v>67</v>
      </c>
      <c r="F35" s="2" t="s">
        <v>126</v>
      </c>
      <c r="G35" s="2" t="s">
        <v>394</v>
      </c>
      <c r="H35" s="2" t="s">
        <v>70</v>
      </c>
      <c r="I35" s="2" t="s">
        <v>74</v>
      </c>
      <c r="J35" s="2" t="s">
        <v>67</v>
      </c>
      <c r="K35" s="2" t="s">
        <v>67</v>
      </c>
      <c r="L35" s="2" t="s">
        <v>398</v>
      </c>
      <c r="M35" s="2" t="s">
        <v>399</v>
      </c>
      <c r="N35" s="2" t="s">
        <v>67</v>
      </c>
      <c r="O35" s="2" t="s">
        <v>346</v>
      </c>
      <c r="P35" s="2" t="s">
        <v>142</v>
      </c>
      <c r="Q35" s="2" t="s">
        <v>73</v>
      </c>
      <c r="R35" t="str">
        <f>IF(OR(I35="Yes", K35 = "Yes"), "Yes", "No")</f>
        <v>Yes</v>
      </c>
    </row>
    <row r="36" spans="2:18" ht="32" x14ac:dyDescent="0.2">
      <c r="B36" s="2" t="s">
        <v>299</v>
      </c>
      <c r="C36" s="2" t="s">
        <v>300</v>
      </c>
      <c r="D36" s="2" t="s">
        <v>307</v>
      </c>
      <c r="E36" s="2" t="s">
        <v>302</v>
      </c>
      <c r="F36" s="2" t="s">
        <v>303</v>
      </c>
      <c r="G36" s="2" t="s">
        <v>309</v>
      </c>
      <c r="H36" s="2" t="s">
        <v>70</v>
      </c>
      <c r="I36" s="2" t="s">
        <v>74</v>
      </c>
      <c r="J36" s="2" t="s">
        <v>67</v>
      </c>
      <c r="K36" s="2" t="s">
        <v>67</v>
      </c>
      <c r="L36" s="2" t="s">
        <v>67</v>
      </c>
      <c r="M36" s="2" t="s">
        <v>67</v>
      </c>
      <c r="N36" s="2" t="s">
        <v>67</v>
      </c>
      <c r="O36" s="2" t="s">
        <v>455</v>
      </c>
      <c r="P36" s="2" t="s">
        <v>142</v>
      </c>
      <c r="Q36" s="2" t="s">
        <v>73</v>
      </c>
      <c r="R36" t="str">
        <f>IF(OR(I36="Yes", K36 = "Yes"), "Yes", "No")</f>
        <v>Yes</v>
      </c>
    </row>
    <row r="37" spans="2:18" ht="48" hidden="1" x14ac:dyDescent="0.2">
      <c r="B37" s="2" t="s">
        <v>402</v>
      </c>
      <c r="C37" s="2" t="s">
        <v>403</v>
      </c>
      <c r="D37" s="2" t="s">
        <v>404</v>
      </c>
      <c r="E37" s="2" t="s">
        <v>160</v>
      </c>
      <c r="F37" s="2" t="s">
        <v>126</v>
      </c>
      <c r="G37" s="2" t="s">
        <v>405</v>
      </c>
      <c r="H37" s="2" t="s">
        <v>70</v>
      </c>
      <c r="I37" s="2" t="s">
        <v>71</v>
      </c>
      <c r="J37" s="2" t="s">
        <v>67</v>
      </c>
      <c r="K37" s="2" t="s">
        <v>67</v>
      </c>
      <c r="L37" s="2" t="s">
        <v>67</v>
      </c>
      <c r="M37" s="2" t="s">
        <v>67</v>
      </c>
      <c r="N37" s="2" t="s">
        <v>67</v>
      </c>
      <c r="O37" s="2" t="s">
        <v>346</v>
      </c>
      <c r="P37" s="2" t="s">
        <v>142</v>
      </c>
      <c r="Q37" s="2" t="s">
        <v>73</v>
      </c>
      <c r="R37" t="str">
        <f>IF(OR(I37="Yes", K37 = "Yes"), "Yes", "No")</f>
        <v>No</v>
      </c>
    </row>
    <row r="38" spans="2:18" ht="48" hidden="1" x14ac:dyDescent="0.2">
      <c r="B38" s="2" t="s">
        <v>411</v>
      </c>
      <c r="C38" s="2" t="s">
        <v>88</v>
      </c>
      <c r="D38" s="2" t="s">
        <v>412</v>
      </c>
      <c r="E38" s="2" t="s">
        <v>413</v>
      </c>
      <c r="F38" s="2" t="s">
        <v>126</v>
      </c>
      <c r="G38" s="2" t="s">
        <v>414</v>
      </c>
      <c r="H38" s="2" t="s">
        <v>70</v>
      </c>
      <c r="I38" s="2" t="s">
        <v>71</v>
      </c>
      <c r="J38" s="2" t="s">
        <v>67</v>
      </c>
      <c r="K38" s="2" t="s">
        <v>67</v>
      </c>
      <c r="L38" s="2" t="s">
        <v>67</v>
      </c>
      <c r="M38" s="2" t="s">
        <v>67</v>
      </c>
      <c r="N38" s="2" t="s">
        <v>67</v>
      </c>
      <c r="O38" s="2" t="s">
        <v>346</v>
      </c>
      <c r="P38" s="2" t="s">
        <v>142</v>
      </c>
      <c r="Q38" s="2" t="s">
        <v>73</v>
      </c>
      <c r="R38" t="str">
        <f>IF(OR(I38="Yes", K38 = "Yes"), "Yes", "No")</f>
        <v>No</v>
      </c>
    </row>
    <row r="39" spans="2:18" ht="48" hidden="1" x14ac:dyDescent="0.2">
      <c r="B39" s="2" t="s">
        <v>419</v>
      </c>
      <c r="C39" s="2" t="s">
        <v>420</v>
      </c>
      <c r="D39" s="2" t="s">
        <v>421</v>
      </c>
      <c r="E39" s="2" t="s">
        <v>67</v>
      </c>
      <c r="F39" s="2" t="s">
        <v>82</v>
      </c>
      <c r="G39" s="2" t="s">
        <v>422</v>
      </c>
      <c r="H39" s="2" t="s">
        <v>70</v>
      </c>
      <c r="I39" s="2" t="s">
        <v>71</v>
      </c>
      <c r="J39" s="2" t="s">
        <v>67</v>
      </c>
      <c r="K39" s="2" t="s">
        <v>67</v>
      </c>
      <c r="L39" s="2" t="s">
        <v>67</v>
      </c>
      <c r="M39" s="2" t="s">
        <v>67</v>
      </c>
      <c r="N39" s="2" t="s">
        <v>67</v>
      </c>
      <c r="O39" s="2" t="s">
        <v>346</v>
      </c>
      <c r="P39" s="2" t="s">
        <v>142</v>
      </c>
      <c r="Q39" s="2" t="s">
        <v>73</v>
      </c>
      <c r="R39" t="str">
        <f>IF(OR(I39="Yes", K39 = "Yes"), "Yes", "No")</f>
        <v>No</v>
      </c>
    </row>
    <row r="40" spans="2:18" ht="48" hidden="1" x14ac:dyDescent="0.2">
      <c r="B40" s="2" t="s">
        <v>428</v>
      </c>
      <c r="C40" s="2" t="s">
        <v>429</v>
      </c>
      <c r="D40" s="2" t="s">
        <v>430</v>
      </c>
      <c r="E40" s="2" t="s">
        <v>431</v>
      </c>
      <c r="F40" s="2" t="s">
        <v>82</v>
      </c>
      <c r="G40" s="2" t="s">
        <v>432</v>
      </c>
      <c r="H40" s="2" t="s">
        <v>70</v>
      </c>
      <c r="I40" s="2" t="s">
        <v>71</v>
      </c>
      <c r="J40" s="2" t="s">
        <v>67</v>
      </c>
      <c r="K40" s="2" t="s">
        <v>67</v>
      </c>
      <c r="L40" s="2" t="s">
        <v>67</v>
      </c>
      <c r="M40" s="2" t="s">
        <v>67</v>
      </c>
      <c r="N40" s="2" t="s">
        <v>67</v>
      </c>
      <c r="O40" s="2" t="s">
        <v>346</v>
      </c>
      <c r="P40" s="2" t="s">
        <v>142</v>
      </c>
      <c r="Q40" s="2" t="s">
        <v>73</v>
      </c>
      <c r="R40" t="str">
        <f>IF(OR(I40="Yes", K40 = "Yes"), "Yes", "No")</f>
        <v>No</v>
      </c>
    </row>
    <row r="41" spans="2:18" ht="48" hidden="1" x14ac:dyDescent="0.2">
      <c r="B41" s="2" t="s">
        <v>438</v>
      </c>
      <c r="C41" s="2" t="s">
        <v>439</v>
      </c>
      <c r="D41" s="2" t="s">
        <v>440</v>
      </c>
      <c r="E41" s="2" t="s">
        <v>90</v>
      </c>
      <c r="F41" s="2" t="s">
        <v>316</v>
      </c>
      <c r="G41" s="2" t="s">
        <v>441</v>
      </c>
      <c r="H41" s="2" t="s">
        <v>70</v>
      </c>
      <c r="I41" s="2" t="s">
        <v>71</v>
      </c>
      <c r="J41" s="2" t="s">
        <v>67</v>
      </c>
      <c r="K41" s="2" t="s">
        <v>67</v>
      </c>
      <c r="L41" s="2" t="s">
        <v>67</v>
      </c>
      <c r="M41" s="2" t="s">
        <v>67</v>
      </c>
      <c r="N41" s="2" t="s">
        <v>67</v>
      </c>
      <c r="O41" s="2" t="s">
        <v>346</v>
      </c>
      <c r="P41" s="2" t="s">
        <v>142</v>
      </c>
      <c r="Q41" s="2" t="s">
        <v>73</v>
      </c>
      <c r="R41" t="str">
        <f>IF(OR(I41="Yes", K41 = "Yes"), "Yes", "No")</f>
        <v>No</v>
      </c>
    </row>
    <row r="42" spans="2:18" ht="48" hidden="1" x14ac:dyDescent="0.2">
      <c r="B42" s="2" t="s">
        <v>447</v>
      </c>
      <c r="C42" s="2" t="s">
        <v>448</v>
      </c>
      <c r="D42" s="2" t="s">
        <v>449</v>
      </c>
      <c r="E42" s="2" t="s">
        <v>67</v>
      </c>
      <c r="F42" s="2" t="s">
        <v>450</v>
      </c>
      <c r="G42" s="2" t="s">
        <v>451</v>
      </c>
      <c r="H42" s="2" t="s">
        <v>70</v>
      </c>
      <c r="I42" s="2" t="s">
        <v>71</v>
      </c>
      <c r="J42" s="2" t="s">
        <v>67</v>
      </c>
      <c r="K42" s="2" t="s">
        <v>67</v>
      </c>
      <c r="L42" s="2" t="s">
        <v>67</v>
      </c>
      <c r="M42" s="2" t="s">
        <v>67</v>
      </c>
      <c r="N42" s="2" t="s">
        <v>67</v>
      </c>
      <c r="O42" s="2" t="s">
        <v>455</v>
      </c>
      <c r="P42" s="2" t="s">
        <v>142</v>
      </c>
      <c r="Q42" s="2" t="s">
        <v>73</v>
      </c>
      <c r="R42" t="str">
        <f>IF(OR(I42="Yes", K42 = "Yes"), "Yes", "No")</f>
        <v>No</v>
      </c>
    </row>
    <row r="43" spans="2:18" ht="32" hidden="1" x14ac:dyDescent="0.2">
      <c r="B43" s="2" t="s">
        <v>299</v>
      </c>
      <c r="C43" s="2" t="s">
        <v>300</v>
      </c>
      <c r="D43" s="2" t="s">
        <v>307</v>
      </c>
      <c r="E43" s="2" t="s">
        <v>302</v>
      </c>
      <c r="F43" s="2" t="s">
        <v>303</v>
      </c>
      <c r="G43" s="2" t="s">
        <v>458</v>
      </c>
      <c r="H43" s="2" t="s">
        <v>70</v>
      </c>
      <c r="I43" s="2" t="s">
        <v>71</v>
      </c>
      <c r="J43" s="2" t="s">
        <v>67</v>
      </c>
      <c r="K43" s="2" t="s">
        <v>67</v>
      </c>
      <c r="L43" s="2" t="s">
        <v>67</v>
      </c>
      <c r="M43" s="2" t="s">
        <v>67</v>
      </c>
      <c r="N43" s="2" t="s">
        <v>67</v>
      </c>
      <c r="O43" s="2" t="s">
        <v>455</v>
      </c>
      <c r="P43" s="2" t="s">
        <v>142</v>
      </c>
      <c r="Q43" s="2" t="s">
        <v>73</v>
      </c>
      <c r="R43" t="str">
        <f>IF(OR(I43="Yes", K43 = "Yes"), "Yes", "No")</f>
        <v>No</v>
      </c>
    </row>
    <row r="44" spans="2:18" ht="48" hidden="1" x14ac:dyDescent="0.2">
      <c r="B44" s="2" t="s">
        <v>108</v>
      </c>
      <c r="C44" s="2" t="s">
        <v>109</v>
      </c>
      <c r="D44" s="2" t="s">
        <v>110</v>
      </c>
      <c r="E44" s="2" t="s">
        <v>333</v>
      </c>
      <c r="F44" s="2" t="s">
        <v>126</v>
      </c>
      <c r="G44" s="2" t="s">
        <v>111</v>
      </c>
      <c r="H44" s="2" t="s">
        <v>70</v>
      </c>
      <c r="I44" s="2" t="s">
        <v>71</v>
      </c>
      <c r="J44" s="2" t="s">
        <v>67</v>
      </c>
      <c r="K44" s="2" t="s">
        <v>67</v>
      </c>
      <c r="L44" s="2" t="s">
        <v>67</v>
      </c>
      <c r="M44" s="2" t="s">
        <v>67</v>
      </c>
      <c r="N44" s="2" t="s">
        <v>67</v>
      </c>
      <c r="O44" s="2" t="s">
        <v>455</v>
      </c>
      <c r="P44" s="2" t="s">
        <v>142</v>
      </c>
      <c r="Q44" s="2" t="s">
        <v>73</v>
      </c>
      <c r="R44" t="str">
        <f>IF(OR(I44="Yes", K44 = "Yes"), "Yes", "No")</f>
        <v>No</v>
      </c>
    </row>
    <row r="45" spans="2:18" ht="32" x14ac:dyDescent="0.2">
      <c r="B45" s="2" t="s">
        <v>614</v>
      </c>
      <c r="C45" s="2" t="s">
        <v>615</v>
      </c>
      <c r="D45" s="2" t="s">
        <v>616</v>
      </c>
      <c r="E45" s="2" t="s">
        <v>67</v>
      </c>
      <c r="F45" s="2" t="s">
        <v>237</v>
      </c>
      <c r="G45" s="2" t="s">
        <v>617</v>
      </c>
      <c r="H45" s="2" t="s">
        <v>67</v>
      </c>
      <c r="I45" s="2" t="s">
        <v>67</v>
      </c>
      <c r="J45" s="2" t="s">
        <v>74</v>
      </c>
      <c r="K45" s="2" t="s">
        <v>74</v>
      </c>
      <c r="L45" s="2" t="s">
        <v>621</v>
      </c>
      <c r="M45" s="2" t="s">
        <v>622</v>
      </c>
      <c r="N45" s="2" t="s">
        <v>67</v>
      </c>
      <c r="O45" s="2" t="s">
        <v>612</v>
      </c>
      <c r="P45" s="2" t="s">
        <v>142</v>
      </c>
      <c r="Q45" s="2" t="s">
        <v>73</v>
      </c>
      <c r="R45" t="str">
        <f>IF(OR(I45="Yes", K45 = "Yes"), "Yes", "No")</f>
        <v>Yes</v>
      </c>
    </row>
    <row r="46" spans="2:18" ht="48" x14ac:dyDescent="0.2">
      <c r="B46" s="2" t="s">
        <v>145</v>
      </c>
      <c r="C46" s="2" t="s">
        <v>146</v>
      </c>
      <c r="D46" s="2" t="s">
        <v>147</v>
      </c>
      <c r="E46" s="2" t="s">
        <v>67</v>
      </c>
      <c r="F46" s="2" t="s">
        <v>148</v>
      </c>
      <c r="G46" s="2" t="s">
        <v>149</v>
      </c>
      <c r="H46" s="2" t="s">
        <v>70</v>
      </c>
      <c r="I46" s="2" t="s">
        <v>74</v>
      </c>
      <c r="J46" s="2" t="s">
        <v>67</v>
      </c>
      <c r="K46" s="2" t="s">
        <v>67</v>
      </c>
      <c r="L46" s="2" t="s">
        <v>153</v>
      </c>
      <c r="M46" s="2" t="s">
        <v>154</v>
      </c>
      <c r="N46" s="2" t="s">
        <v>67</v>
      </c>
      <c r="O46" s="2" t="s">
        <v>141</v>
      </c>
      <c r="P46" s="2" t="s">
        <v>142</v>
      </c>
      <c r="Q46" s="2" t="s">
        <v>73</v>
      </c>
      <c r="R46" t="str">
        <f>IF(OR(I46="Yes", K46 = "Yes"), "Yes", "No")</f>
        <v>Yes</v>
      </c>
    </row>
    <row r="47" spans="2:18" ht="32" hidden="1" x14ac:dyDescent="0.2">
      <c r="B47" s="2" t="s">
        <v>490</v>
      </c>
      <c r="C47" s="2" t="s">
        <v>491</v>
      </c>
      <c r="D47" s="2" t="s">
        <v>492</v>
      </c>
      <c r="E47" s="2" t="s">
        <v>493</v>
      </c>
      <c r="F47" s="2" t="s">
        <v>494</v>
      </c>
      <c r="G47" s="2" t="s">
        <v>495</v>
      </c>
      <c r="H47" s="2" t="s">
        <v>70</v>
      </c>
      <c r="I47" s="2" t="s">
        <v>71</v>
      </c>
      <c r="J47" s="2" t="s">
        <v>67</v>
      </c>
      <c r="K47" s="2" t="s">
        <v>67</v>
      </c>
      <c r="L47" s="2" t="s">
        <v>67</v>
      </c>
      <c r="M47" s="2" t="s">
        <v>67</v>
      </c>
      <c r="N47" s="2" t="s">
        <v>67</v>
      </c>
      <c r="O47" s="2" t="s">
        <v>346</v>
      </c>
      <c r="P47" s="2" t="s">
        <v>142</v>
      </c>
      <c r="Q47" s="2" t="s">
        <v>73</v>
      </c>
      <c r="R47" t="str">
        <f>IF(OR(I47="Yes", K47 = "Yes"), "Yes", "No")</f>
        <v>No</v>
      </c>
    </row>
    <row r="48" spans="2:18" ht="32" hidden="1" x14ac:dyDescent="0.2">
      <c r="B48" s="2" t="s">
        <v>501</v>
      </c>
      <c r="C48" s="2" t="s">
        <v>502</v>
      </c>
      <c r="D48" s="2" t="s">
        <v>503</v>
      </c>
      <c r="E48" s="2" t="s">
        <v>198</v>
      </c>
      <c r="F48" s="2" t="s">
        <v>504</v>
      </c>
      <c r="G48" s="2" t="s">
        <v>505</v>
      </c>
      <c r="H48" s="2" t="s">
        <v>70</v>
      </c>
      <c r="I48" s="2" t="s">
        <v>71</v>
      </c>
      <c r="J48" s="2" t="s">
        <v>67</v>
      </c>
      <c r="K48" s="2" t="s">
        <v>67</v>
      </c>
      <c r="L48" s="2" t="s">
        <v>67</v>
      </c>
      <c r="M48" s="2" t="s">
        <v>67</v>
      </c>
      <c r="N48" s="2" t="s">
        <v>67</v>
      </c>
      <c r="O48" s="2" t="s">
        <v>455</v>
      </c>
      <c r="P48" s="2" t="s">
        <v>142</v>
      </c>
      <c r="Q48" s="2" t="s">
        <v>73</v>
      </c>
      <c r="R48" t="str">
        <f>IF(OR(I48="Yes", K48 = "Yes"), "Yes", "No")</f>
        <v>No</v>
      </c>
    </row>
    <row r="49" spans="2:18" ht="32" hidden="1" x14ac:dyDescent="0.2">
      <c r="B49" s="2" t="s">
        <v>511</v>
      </c>
      <c r="C49" s="2" t="s">
        <v>512</v>
      </c>
      <c r="D49" s="2" t="s">
        <v>513</v>
      </c>
      <c r="E49" s="2" t="s">
        <v>90</v>
      </c>
      <c r="F49" s="2" t="s">
        <v>450</v>
      </c>
      <c r="G49" s="2" t="s">
        <v>514</v>
      </c>
      <c r="H49" s="2" t="s">
        <v>67</v>
      </c>
      <c r="I49" s="2" t="s">
        <v>67</v>
      </c>
      <c r="J49" s="2" t="s">
        <v>67</v>
      </c>
      <c r="K49" s="2" t="s">
        <v>67</v>
      </c>
      <c r="L49" s="2" t="s">
        <v>67</v>
      </c>
      <c r="M49" s="2" t="s">
        <v>67</v>
      </c>
      <c r="N49" s="2" t="s">
        <v>67</v>
      </c>
      <c r="O49" s="2" t="s">
        <v>455</v>
      </c>
      <c r="P49" s="2" t="s">
        <v>142</v>
      </c>
      <c r="Q49" s="2" t="s">
        <v>73</v>
      </c>
      <c r="R49" t="str">
        <f>IF(OR(I49="Yes", K49 = "Yes"), "Yes", "No")</f>
        <v>No</v>
      </c>
    </row>
    <row r="50" spans="2:18" ht="32" hidden="1" x14ac:dyDescent="0.2">
      <c r="B50" s="2" t="s">
        <v>511</v>
      </c>
      <c r="C50" s="2" t="s">
        <v>512</v>
      </c>
      <c r="D50" s="2" t="s">
        <v>513</v>
      </c>
      <c r="E50" s="2" t="s">
        <v>90</v>
      </c>
      <c r="F50" s="2" t="s">
        <v>82</v>
      </c>
      <c r="G50" s="2" t="s">
        <v>514</v>
      </c>
      <c r="H50" s="2" t="s">
        <v>70</v>
      </c>
      <c r="I50" s="2" t="s">
        <v>71</v>
      </c>
      <c r="J50" s="2" t="s">
        <v>67</v>
      </c>
      <c r="K50" s="2" t="s">
        <v>67</v>
      </c>
      <c r="L50" s="2" t="s">
        <v>67</v>
      </c>
      <c r="M50" s="2" t="s">
        <v>67</v>
      </c>
      <c r="N50" s="2" t="s">
        <v>67</v>
      </c>
      <c r="O50" s="2" t="s">
        <v>455</v>
      </c>
      <c r="P50" s="2" t="s">
        <v>142</v>
      </c>
      <c r="Q50" s="2" t="s">
        <v>73</v>
      </c>
      <c r="R50" t="str">
        <f>IF(OR(I50="Yes", K50 = "Yes"), "Yes", "No")</f>
        <v>No</v>
      </c>
    </row>
    <row r="51" spans="2:18" ht="48" hidden="1" x14ac:dyDescent="0.2">
      <c r="B51" s="2" t="s">
        <v>521</v>
      </c>
      <c r="C51" s="2" t="s">
        <v>522</v>
      </c>
      <c r="D51" s="2" t="s">
        <v>523</v>
      </c>
      <c r="E51" s="2" t="s">
        <v>67</v>
      </c>
      <c r="F51" s="2" t="s">
        <v>126</v>
      </c>
      <c r="G51" s="2" t="s">
        <v>524</v>
      </c>
      <c r="H51" s="2" t="s">
        <v>70</v>
      </c>
      <c r="I51" s="2" t="s">
        <v>71</v>
      </c>
      <c r="J51" s="2" t="s">
        <v>67</v>
      </c>
      <c r="K51" s="2" t="s">
        <v>67</v>
      </c>
      <c r="L51" s="2" t="s">
        <v>67</v>
      </c>
      <c r="M51" s="2" t="s">
        <v>67</v>
      </c>
      <c r="N51" s="2" t="s">
        <v>67</v>
      </c>
      <c r="O51" s="2" t="s">
        <v>455</v>
      </c>
      <c r="P51" s="2" t="s">
        <v>142</v>
      </c>
      <c r="Q51" s="2" t="s">
        <v>73</v>
      </c>
      <c r="R51" t="str">
        <f>IF(OR(I51="Yes", K51 = "Yes"), "Yes", "No")</f>
        <v>No</v>
      </c>
    </row>
    <row r="52" spans="2:18" ht="32" hidden="1" x14ac:dyDescent="0.2">
      <c r="B52" s="2" t="s">
        <v>530</v>
      </c>
      <c r="C52" s="2" t="s">
        <v>531</v>
      </c>
      <c r="D52" s="2" t="s">
        <v>532</v>
      </c>
      <c r="E52" s="2" t="s">
        <v>90</v>
      </c>
      <c r="F52" s="2" t="s">
        <v>237</v>
      </c>
      <c r="G52" s="2" t="s">
        <v>533</v>
      </c>
      <c r="H52" s="2" t="s">
        <v>70</v>
      </c>
      <c r="I52" s="2" t="s">
        <v>71</v>
      </c>
      <c r="J52" s="2" t="s">
        <v>67</v>
      </c>
      <c r="K52" s="2" t="s">
        <v>67</v>
      </c>
      <c r="L52" s="2" t="s">
        <v>67</v>
      </c>
      <c r="M52" s="2" t="s">
        <v>67</v>
      </c>
      <c r="N52" s="2" t="s">
        <v>67</v>
      </c>
      <c r="O52" s="2" t="s">
        <v>455</v>
      </c>
      <c r="P52" s="2" t="s">
        <v>142</v>
      </c>
      <c r="Q52" s="2" t="s">
        <v>73</v>
      </c>
      <c r="R52" t="str">
        <f>IF(OR(I52="Yes", K52 = "Yes"), "Yes", "No")</f>
        <v>No</v>
      </c>
    </row>
    <row r="53" spans="2:18" ht="32" hidden="1" x14ac:dyDescent="0.2">
      <c r="B53" s="2" t="s">
        <v>539</v>
      </c>
      <c r="C53" s="2" t="s">
        <v>540</v>
      </c>
      <c r="D53" s="2" t="s">
        <v>541</v>
      </c>
      <c r="E53" s="2" t="s">
        <v>67</v>
      </c>
      <c r="F53" s="2" t="s">
        <v>308</v>
      </c>
      <c r="G53" s="2" t="s">
        <v>542</v>
      </c>
      <c r="H53" s="2" t="s">
        <v>70</v>
      </c>
      <c r="I53" s="2" t="s">
        <v>71</v>
      </c>
      <c r="J53" s="2" t="s">
        <v>67</v>
      </c>
      <c r="K53" s="2" t="s">
        <v>67</v>
      </c>
      <c r="L53" s="2" t="s">
        <v>67</v>
      </c>
      <c r="M53" s="2" t="s">
        <v>67</v>
      </c>
      <c r="N53" s="2" t="s">
        <v>67</v>
      </c>
      <c r="O53" s="2" t="s">
        <v>455</v>
      </c>
      <c r="P53" s="2" t="s">
        <v>142</v>
      </c>
      <c r="Q53" s="2" t="s">
        <v>73</v>
      </c>
      <c r="R53" t="str">
        <f>IF(OR(I53="Yes", K53 = "Yes"), "Yes", "No")</f>
        <v>No</v>
      </c>
    </row>
    <row r="54" spans="2:18" ht="48" hidden="1" x14ac:dyDescent="0.2">
      <c r="B54" s="2" t="s">
        <v>548</v>
      </c>
      <c r="C54" s="2" t="s">
        <v>549</v>
      </c>
      <c r="D54" s="2" t="s">
        <v>550</v>
      </c>
      <c r="E54" s="2" t="s">
        <v>125</v>
      </c>
      <c r="F54" s="2" t="s">
        <v>82</v>
      </c>
      <c r="G54" s="2" t="s">
        <v>280</v>
      </c>
      <c r="H54" s="2" t="s">
        <v>70</v>
      </c>
      <c r="I54" s="2" t="s">
        <v>71</v>
      </c>
      <c r="J54" s="2" t="s">
        <v>67</v>
      </c>
      <c r="K54" s="2" t="s">
        <v>67</v>
      </c>
      <c r="L54" s="2" t="s">
        <v>67</v>
      </c>
      <c r="M54" s="2" t="s">
        <v>67</v>
      </c>
      <c r="N54" s="2" t="s">
        <v>67</v>
      </c>
      <c r="O54" s="2" t="s">
        <v>346</v>
      </c>
      <c r="P54" s="2" t="s">
        <v>142</v>
      </c>
      <c r="Q54" s="2" t="s">
        <v>73</v>
      </c>
      <c r="R54" t="str">
        <f>IF(OR(I54="Yes", K54 = "Yes"), "Yes", "No")</f>
        <v>No</v>
      </c>
    </row>
    <row r="55" spans="2:18" ht="32" hidden="1" x14ac:dyDescent="0.2">
      <c r="B55" s="2" t="s">
        <v>272</v>
      </c>
      <c r="C55" s="2" t="s">
        <v>273</v>
      </c>
      <c r="D55" s="2" t="s">
        <v>274</v>
      </c>
      <c r="E55" s="2" t="s">
        <v>556</v>
      </c>
      <c r="F55" s="2" t="s">
        <v>219</v>
      </c>
      <c r="G55" s="2" t="s">
        <v>209</v>
      </c>
      <c r="H55" s="2" t="s">
        <v>70</v>
      </c>
      <c r="I55" s="2" t="s">
        <v>71</v>
      </c>
      <c r="J55" s="2" t="s">
        <v>67</v>
      </c>
      <c r="K55" s="2" t="s">
        <v>67</v>
      </c>
      <c r="L55" s="2" t="s">
        <v>67</v>
      </c>
      <c r="M55" s="2" t="s">
        <v>67</v>
      </c>
      <c r="N55" s="2" t="s">
        <v>67</v>
      </c>
      <c r="O55" s="2" t="s">
        <v>455</v>
      </c>
      <c r="P55" s="2" t="s">
        <v>142</v>
      </c>
      <c r="Q55" s="2" t="s">
        <v>73</v>
      </c>
      <c r="R55" t="str">
        <f>IF(OR(I55="Yes", K55 = "Yes"), "Yes", "No")</f>
        <v>No</v>
      </c>
    </row>
    <row r="56" spans="2:18" ht="48" hidden="1" x14ac:dyDescent="0.2">
      <c r="B56" s="2" t="s">
        <v>562</v>
      </c>
      <c r="C56" s="2" t="s">
        <v>563</v>
      </c>
      <c r="D56" s="2" t="s">
        <v>564</v>
      </c>
      <c r="E56" s="2" t="s">
        <v>315</v>
      </c>
      <c r="F56" s="2" t="s">
        <v>161</v>
      </c>
      <c r="G56" s="2" t="s">
        <v>565</v>
      </c>
      <c r="H56" s="2" t="s">
        <v>70</v>
      </c>
      <c r="I56" s="2" t="s">
        <v>71</v>
      </c>
      <c r="J56" s="2" t="s">
        <v>67</v>
      </c>
      <c r="K56" s="2" t="s">
        <v>67</v>
      </c>
      <c r="L56" s="2" t="s">
        <v>67</v>
      </c>
      <c r="M56" s="2" t="s">
        <v>67</v>
      </c>
      <c r="N56" s="2" t="s">
        <v>67</v>
      </c>
      <c r="O56" s="2" t="s">
        <v>455</v>
      </c>
      <c r="P56" s="2" t="s">
        <v>142</v>
      </c>
      <c r="Q56" s="2" t="s">
        <v>73</v>
      </c>
      <c r="R56" t="str">
        <f>IF(OR(I56="Yes", K56 = "Yes"), "Yes", "No")</f>
        <v>No</v>
      </c>
    </row>
    <row r="57" spans="2:18" ht="32" hidden="1" x14ac:dyDescent="0.2">
      <c r="B57" s="2" t="s">
        <v>75</v>
      </c>
      <c r="C57" s="2" t="s">
        <v>76</v>
      </c>
      <c r="D57" s="2" t="s">
        <v>77</v>
      </c>
      <c r="E57" s="2" t="s">
        <v>81</v>
      </c>
      <c r="F57" s="2" t="s">
        <v>82</v>
      </c>
      <c r="G57" s="2" t="s">
        <v>571</v>
      </c>
      <c r="H57" s="2" t="s">
        <v>70</v>
      </c>
      <c r="I57" s="2" t="s">
        <v>71</v>
      </c>
      <c r="J57" s="2" t="s">
        <v>67</v>
      </c>
      <c r="K57" s="2" t="s">
        <v>67</v>
      </c>
      <c r="L57" s="2" t="s">
        <v>67</v>
      </c>
      <c r="M57" s="2" t="s">
        <v>67</v>
      </c>
      <c r="N57" s="2" t="s">
        <v>67</v>
      </c>
      <c r="O57" s="2" t="s">
        <v>455</v>
      </c>
      <c r="P57" s="2" t="s">
        <v>142</v>
      </c>
      <c r="Q57" s="2" t="s">
        <v>73</v>
      </c>
      <c r="R57" t="str">
        <f>IF(OR(I57="Yes", K57 = "Yes"), "Yes", "No")</f>
        <v>No</v>
      </c>
    </row>
    <row r="58" spans="2:18" ht="32" hidden="1" x14ac:dyDescent="0.2">
      <c r="B58" s="2" t="s">
        <v>577</v>
      </c>
      <c r="C58" s="2" t="s">
        <v>578</v>
      </c>
      <c r="D58" s="2" t="s">
        <v>579</v>
      </c>
      <c r="E58" s="2" t="s">
        <v>67</v>
      </c>
      <c r="F58" s="2" t="s">
        <v>237</v>
      </c>
      <c r="G58" s="2" t="s">
        <v>266</v>
      </c>
      <c r="H58" s="2" t="s">
        <v>70</v>
      </c>
      <c r="I58" s="2" t="s">
        <v>71</v>
      </c>
      <c r="J58" s="2" t="s">
        <v>67</v>
      </c>
      <c r="K58" s="2" t="s">
        <v>67</v>
      </c>
      <c r="L58" s="2" t="s">
        <v>67</v>
      </c>
      <c r="M58" s="2" t="s">
        <v>67</v>
      </c>
      <c r="N58" s="2" t="s">
        <v>67</v>
      </c>
      <c r="O58" s="2" t="s">
        <v>455</v>
      </c>
      <c r="P58" s="2" t="s">
        <v>142</v>
      </c>
      <c r="Q58" s="2" t="s">
        <v>73</v>
      </c>
      <c r="R58" t="str">
        <f>IF(OR(I58="Yes", K58 = "Yes"), "Yes", "No")</f>
        <v>No</v>
      </c>
    </row>
    <row r="59" spans="2:18" ht="48" x14ac:dyDescent="0.2">
      <c r="B59" s="2" t="s">
        <v>379</v>
      </c>
      <c r="C59" s="2" t="s">
        <v>380</v>
      </c>
      <c r="D59" s="2" t="s">
        <v>381</v>
      </c>
      <c r="E59" s="2" t="s">
        <v>81</v>
      </c>
      <c r="F59" s="2" t="s">
        <v>126</v>
      </c>
      <c r="G59" s="2" t="s">
        <v>382</v>
      </c>
      <c r="H59" s="2" t="s">
        <v>383</v>
      </c>
      <c r="I59" s="2" t="s">
        <v>74</v>
      </c>
      <c r="J59" s="2" t="s">
        <v>67</v>
      </c>
      <c r="K59" s="2" t="s">
        <v>67</v>
      </c>
      <c r="L59" s="2" t="s">
        <v>387</v>
      </c>
      <c r="M59" s="2" t="s">
        <v>388</v>
      </c>
      <c r="N59" s="2" t="s">
        <v>67</v>
      </c>
      <c r="O59" s="2" t="s">
        <v>346</v>
      </c>
      <c r="P59" s="2" t="s">
        <v>142</v>
      </c>
      <c r="Q59" s="2" t="s">
        <v>73</v>
      </c>
      <c r="R59" t="str">
        <f>IF(OR(I59="Yes", K59 = "Yes"), "Yes", "No")</f>
        <v>Yes</v>
      </c>
    </row>
    <row r="60" spans="2:18" ht="48" hidden="1" x14ac:dyDescent="0.2">
      <c r="B60" s="2" t="s">
        <v>593</v>
      </c>
      <c r="C60" s="2" t="s">
        <v>594</v>
      </c>
      <c r="D60" s="2" t="s">
        <v>595</v>
      </c>
      <c r="E60" s="2" t="s">
        <v>596</v>
      </c>
      <c r="F60" s="2" t="s">
        <v>597</v>
      </c>
      <c r="G60" s="2" t="s">
        <v>598</v>
      </c>
      <c r="H60" s="2" t="s">
        <v>67</v>
      </c>
      <c r="I60" s="2" t="s">
        <v>67</v>
      </c>
      <c r="J60" s="2" t="s">
        <v>67</v>
      </c>
      <c r="K60" s="2" t="s">
        <v>67</v>
      </c>
      <c r="L60" s="2" t="s">
        <v>67</v>
      </c>
      <c r="M60" s="2" t="s">
        <v>67</v>
      </c>
      <c r="N60" s="2" t="s">
        <v>67</v>
      </c>
      <c r="O60" s="2" t="s">
        <v>242</v>
      </c>
      <c r="P60" s="2" t="s">
        <v>142</v>
      </c>
      <c r="Q60" s="2" t="s">
        <v>73</v>
      </c>
      <c r="R60" t="str">
        <f>IF(OR(I60="Yes", K60 = "Yes"), "Yes", "No")</f>
        <v>No</v>
      </c>
    </row>
    <row r="61" spans="2:18" ht="48" hidden="1" x14ac:dyDescent="0.2">
      <c r="B61" s="2" t="s">
        <v>601</v>
      </c>
      <c r="C61" s="2" t="s">
        <v>601</v>
      </c>
      <c r="D61" s="2" t="s">
        <v>602</v>
      </c>
      <c r="E61" s="2" t="s">
        <v>601</v>
      </c>
      <c r="F61" s="2" t="s">
        <v>601</v>
      </c>
      <c r="G61" s="2" t="s">
        <v>601</v>
      </c>
      <c r="H61" s="2" t="s">
        <v>70</v>
      </c>
      <c r="I61" s="2" t="s">
        <v>71</v>
      </c>
      <c r="J61" s="2" t="s">
        <v>67</v>
      </c>
      <c r="K61" s="2" t="s">
        <v>67</v>
      </c>
      <c r="L61" s="2" t="s">
        <v>67</v>
      </c>
      <c r="M61" s="2" t="s">
        <v>67</v>
      </c>
      <c r="N61" s="2" t="s">
        <v>67</v>
      </c>
      <c r="O61" s="2" t="s">
        <v>305</v>
      </c>
      <c r="P61" s="2" t="s">
        <v>142</v>
      </c>
      <c r="Q61" s="2" t="s">
        <v>73</v>
      </c>
      <c r="R61" t="str">
        <f>IF(OR(I61="Yes", K61 = "Yes"), "Yes", "No")</f>
        <v>No</v>
      </c>
    </row>
    <row r="62" spans="2:18" ht="48" hidden="1" x14ac:dyDescent="0.2">
      <c r="B62" s="2" t="s">
        <v>328</v>
      </c>
      <c r="C62" s="2" t="s">
        <v>323</v>
      </c>
      <c r="D62" s="2" t="s">
        <v>324</v>
      </c>
      <c r="E62" s="2" t="s">
        <v>67</v>
      </c>
      <c r="F62" s="2" t="s">
        <v>82</v>
      </c>
      <c r="G62" s="2" t="s">
        <v>329</v>
      </c>
      <c r="H62" s="2" t="s">
        <v>67</v>
      </c>
      <c r="I62" s="2" t="s">
        <v>67</v>
      </c>
      <c r="J62" s="2" t="s">
        <v>67</v>
      </c>
      <c r="K62" s="2" t="s">
        <v>67</v>
      </c>
      <c r="L62" s="2" t="s">
        <v>67</v>
      </c>
      <c r="M62" s="2" t="s">
        <v>67</v>
      </c>
      <c r="N62" s="2" t="s">
        <v>67</v>
      </c>
      <c r="O62" s="2" t="s">
        <v>346</v>
      </c>
      <c r="P62" s="2" t="s">
        <v>142</v>
      </c>
      <c r="Q62" s="2" t="s">
        <v>73</v>
      </c>
      <c r="R62" t="str">
        <f>IF(OR(I62="Yes", K62 = "Yes"), "Yes", "No")</f>
        <v>No</v>
      </c>
    </row>
    <row r="63" spans="2:18" ht="32" hidden="1" x14ac:dyDescent="0.2">
      <c r="B63" s="2" t="s">
        <v>607</v>
      </c>
      <c r="C63" s="2" t="s">
        <v>608</v>
      </c>
      <c r="D63" s="2" t="s">
        <v>609</v>
      </c>
      <c r="E63" s="2" t="s">
        <v>67</v>
      </c>
      <c r="F63" s="2" t="s">
        <v>610</v>
      </c>
      <c r="G63" s="2" t="s">
        <v>611</v>
      </c>
      <c r="H63" s="2" t="s">
        <v>67</v>
      </c>
      <c r="I63" s="2" t="s">
        <v>67</v>
      </c>
      <c r="J63" s="2" t="s">
        <v>71</v>
      </c>
      <c r="K63" s="2" t="s">
        <v>71</v>
      </c>
      <c r="L63" s="2" t="s">
        <v>67</v>
      </c>
      <c r="M63" s="2" t="s">
        <v>67</v>
      </c>
      <c r="N63" s="2" t="s">
        <v>67</v>
      </c>
      <c r="O63" s="2" t="s">
        <v>612</v>
      </c>
      <c r="P63" s="2" t="s">
        <v>142</v>
      </c>
      <c r="Q63" s="2" t="s">
        <v>73</v>
      </c>
      <c r="R63" t="str">
        <f>IF(OR(I63="Yes", K63 = "Yes"), "Yes", "No")</f>
        <v>No</v>
      </c>
    </row>
    <row r="64" spans="2:18" ht="48" x14ac:dyDescent="0.2">
      <c r="B64" s="2" t="s">
        <v>1100</v>
      </c>
      <c r="C64" s="2" t="s">
        <v>1101</v>
      </c>
      <c r="D64" s="2" t="s">
        <v>1102</v>
      </c>
      <c r="E64" s="2" t="s">
        <v>90</v>
      </c>
      <c r="F64" s="2" t="s">
        <v>316</v>
      </c>
      <c r="G64" s="2" t="s">
        <v>405</v>
      </c>
      <c r="H64" s="2" t="s">
        <v>67</v>
      </c>
      <c r="I64" s="2" t="s">
        <v>67</v>
      </c>
      <c r="J64" s="2" t="s">
        <v>74</v>
      </c>
      <c r="K64" s="2" t="s">
        <v>74</v>
      </c>
      <c r="L64" s="2" t="s">
        <v>1106</v>
      </c>
      <c r="M64" s="2" t="s">
        <v>1107</v>
      </c>
      <c r="N64" s="2" t="s">
        <v>67</v>
      </c>
      <c r="O64" s="2" t="s">
        <v>242</v>
      </c>
      <c r="P64" s="2" t="s">
        <v>141</v>
      </c>
      <c r="Q64" s="2" t="s">
        <v>73</v>
      </c>
      <c r="R64" t="str">
        <f>IF(OR(I64="Yes", K64 = "Yes"), "Yes", "No")</f>
        <v>Yes</v>
      </c>
    </row>
    <row r="65" spans="2:18" ht="48" x14ac:dyDescent="0.2">
      <c r="B65" s="2" t="s">
        <v>368</v>
      </c>
      <c r="C65" s="2" t="s">
        <v>369</v>
      </c>
      <c r="D65" s="2" t="s">
        <v>370</v>
      </c>
      <c r="E65" s="2" t="s">
        <v>90</v>
      </c>
      <c r="F65" s="2" t="s">
        <v>82</v>
      </c>
      <c r="G65" s="2" t="s">
        <v>371</v>
      </c>
      <c r="H65" s="2" t="s">
        <v>70</v>
      </c>
      <c r="I65" s="2" t="s">
        <v>74</v>
      </c>
      <c r="J65" s="2" t="s">
        <v>67</v>
      </c>
      <c r="K65" s="2" t="s">
        <v>67</v>
      </c>
      <c r="L65" s="2" t="s">
        <v>375</v>
      </c>
      <c r="M65" s="2" t="s">
        <v>376</v>
      </c>
      <c r="N65" s="2" t="s">
        <v>67</v>
      </c>
      <c r="O65" s="2" t="s">
        <v>346</v>
      </c>
      <c r="P65" s="2" t="s">
        <v>142</v>
      </c>
      <c r="Q65" s="2" t="s">
        <v>73</v>
      </c>
      <c r="R65" t="str">
        <f>IF(OR(I65="Yes", K65 = "Yes"), "Yes", "No")</f>
        <v>Yes</v>
      </c>
    </row>
    <row r="66" spans="2:18" ht="48" hidden="1" x14ac:dyDescent="0.2">
      <c r="B66" s="2" t="s">
        <v>627</v>
      </c>
      <c r="C66" s="2" t="s">
        <v>628</v>
      </c>
      <c r="D66" s="2" t="s">
        <v>629</v>
      </c>
      <c r="E66" s="2" t="s">
        <v>160</v>
      </c>
      <c r="F66" s="2" t="s">
        <v>630</v>
      </c>
      <c r="G66" s="2" t="s">
        <v>356</v>
      </c>
      <c r="H66" s="2" t="s">
        <v>70</v>
      </c>
      <c r="I66" s="2" t="s">
        <v>71</v>
      </c>
      <c r="J66" s="2" t="s">
        <v>67</v>
      </c>
      <c r="K66" s="2" t="s">
        <v>67</v>
      </c>
      <c r="L66" s="2" t="s">
        <v>67</v>
      </c>
      <c r="M66" s="2" t="s">
        <v>67</v>
      </c>
      <c r="N66" s="2" t="s">
        <v>67</v>
      </c>
      <c r="O66" s="2" t="s">
        <v>455</v>
      </c>
      <c r="P66" s="2" t="s">
        <v>142</v>
      </c>
      <c r="Q66" s="2" t="s">
        <v>73</v>
      </c>
      <c r="R66" t="str">
        <f>IF(OR(I66="Yes", K66 = "Yes"), "Yes", "No")</f>
        <v>No</v>
      </c>
    </row>
    <row r="67" spans="2:18" ht="48" hidden="1" x14ac:dyDescent="0.2">
      <c r="B67" s="2" t="s">
        <v>633</v>
      </c>
      <c r="C67" s="2" t="s">
        <v>633</v>
      </c>
      <c r="D67" s="2" t="s">
        <v>602</v>
      </c>
      <c r="E67" s="2" t="s">
        <v>633</v>
      </c>
      <c r="F67" s="2" t="s">
        <v>633</v>
      </c>
      <c r="G67" s="2" t="s">
        <v>633</v>
      </c>
      <c r="H67" s="2" t="s">
        <v>70</v>
      </c>
      <c r="I67" s="2" t="s">
        <v>71</v>
      </c>
      <c r="J67" s="2" t="s">
        <v>67</v>
      </c>
      <c r="K67" s="2" t="s">
        <v>67</v>
      </c>
      <c r="L67" s="2" t="s">
        <v>67</v>
      </c>
      <c r="M67" s="2" t="s">
        <v>67</v>
      </c>
      <c r="N67" s="2" t="s">
        <v>67</v>
      </c>
      <c r="O67" s="2" t="s">
        <v>455</v>
      </c>
      <c r="P67" s="2" t="s">
        <v>142</v>
      </c>
      <c r="Q67" s="2" t="s">
        <v>73</v>
      </c>
      <c r="R67" t="str">
        <f>IF(OR(I67="Yes", K67 = "Yes"), "Yes", "No")</f>
        <v>No</v>
      </c>
    </row>
    <row r="68" spans="2:18" ht="32" hidden="1" x14ac:dyDescent="0.2">
      <c r="B68" s="2" t="s">
        <v>636</v>
      </c>
      <c r="C68" s="2" t="s">
        <v>637</v>
      </c>
      <c r="D68" s="2" t="s">
        <v>638</v>
      </c>
      <c r="E68" s="2" t="s">
        <v>637</v>
      </c>
      <c r="F68" s="2" t="s">
        <v>637</v>
      </c>
      <c r="G68" s="2" t="s">
        <v>639</v>
      </c>
      <c r="H68" s="2" t="s">
        <v>67</v>
      </c>
      <c r="I68" s="2" t="s">
        <v>67</v>
      </c>
      <c r="J68" s="2" t="s">
        <v>67</v>
      </c>
      <c r="K68" s="2" t="s">
        <v>67</v>
      </c>
      <c r="L68" s="2" t="s">
        <v>67</v>
      </c>
      <c r="M68" s="2" t="s">
        <v>67</v>
      </c>
      <c r="N68" s="2" t="s">
        <v>67</v>
      </c>
      <c r="O68" s="2" t="s">
        <v>640</v>
      </c>
      <c r="P68" s="2" t="s">
        <v>142</v>
      </c>
      <c r="Q68" s="2" t="s">
        <v>73</v>
      </c>
      <c r="R68" t="str">
        <f>IF(OR(I68="Yes", K68 = "Yes"), "Yes", "No")</f>
        <v>No</v>
      </c>
    </row>
    <row r="69" spans="2:18" ht="32" hidden="1" x14ac:dyDescent="0.2">
      <c r="B69" s="2" t="s">
        <v>490</v>
      </c>
      <c r="C69" s="2" t="s">
        <v>491</v>
      </c>
      <c r="D69" s="2" t="s">
        <v>492</v>
      </c>
      <c r="E69" s="2" t="s">
        <v>493</v>
      </c>
      <c r="F69" s="2" t="s">
        <v>494</v>
      </c>
      <c r="G69" s="2" t="s">
        <v>495</v>
      </c>
      <c r="H69" s="2" t="s">
        <v>67</v>
      </c>
      <c r="I69" s="2" t="s">
        <v>67</v>
      </c>
      <c r="J69" s="2" t="s">
        <v>74</v>
      </c>
      <c r="K69" s="2" t="s">
        <v>71</v>
      </c>
      <c r="L69" s="2" t="s">
        <v>67</v>
      </c>
      <c r="M69" s="2" t="s">
        <v>67</v>
      </c>
      <c r="N69" s="2" t="s">
        <v>67</v>
      </c>
      <c r="O69" s="2" t="s">
        <v>645</v>
      </c>
      <c r="P69" s="2" t="s">
        <v>141</v>
      </c>
      <c r="Q69" s="2" t="s">
        <v>73</v>
      </c>
      <c r="R69" t="str">
        <f>IF(OR(I69="Yes", K69 = "Yes"), "Yes", "No")</f>
        <v>No</v>
      </c>
    </row>
    <row r="70" spans="2:18" ht="32" hidden="1" x14ac:dyDescent="0.2">
      <c r="B70" s="2" t="s">
        <v>648</v>
      </c>
      <c r="C70" s="2" t="s">
        <v>649</v>
      </c>
      <c r="D70" s="2" t="s">
        <v>650</v>
      </c>
      <c r="E70" s="2" t="s">
        <v>67</v>
      </c>
      <c r="F70" s="2" t="s">
        <v>651</v>
      </c>
      <c r="G70" s="2" t="s">
        <v>652</v>
      </c>
      <c r="H70" s="2" t="s">
        <v>67</v>
      </c>
      <c r="I70" s="2" t="s">
        <v>67</v>
      </c>
      <c r="J70" s="2" t="s">
        <v>74</v>
      </c>
      <c r="K70" s="2" t="s">
        <v>71</v>
      </c>
      <c r="L70" s="2" t="s">
        <v>67</v>
      </c>
      <c r="M70" s="2" t="s">
        <v>67</v>
      </c>
      <c r="N70" s="2" t="s">
        <v>67</v>
      </c>
      <c r="O70" s="2" t="s">
        <v>142</v>
      </c>
      <c r="P70" s="2" t="s">
        <v>141</v>
      </c>
      <c r="Q70" s="2" t="s">
        <v>73</v>
      </c>
      <c r="R70" t="str">
        <f>IF(OR(I70="Yes", K70 = "Yes"), "Yes", "No")</f>
        <v>No</v>
      </c>
    </row>
    <row r="71" spans="2:18" ht="64" hidden="1" x14ac:dyDescent="0.2">
      <c r="B71" s="2" t="s">
        <v>627</v>
      </c>
      <c r="C71" s="2" t="s">
        <v>628</v>
      </c>
      <c r="D71" s="2" t="s">
        <v>657</v>
      </c>
      <c r="E71" s="2" t="s">
        <v>90</v>
      </c>
      <c r="F71" s="2" t="s">
        <v>658</v>
      </c>
      <c r="G71" s="2" t="s">
        <v>356</v>
      </c>
      <c r="H71" s="2" t="s">
        <v>67</v>
      </c>
      <c r="I71" s="2" t="s">
        <v>67</v>
      </c>
      <c r="J71" s="2" t="s">
        <v>74</v>
      </c>
      <c r="K71" s="2" t="s">
        <v>71</v>
      </c>
      <c r="L71" s="2" t="s">
        <v>67</v>
      </c>
      <c r="M71" s="2" t="s">
        <v>67</v>
      </c>
      <c r="N71" s="2" t="s">
        <v>67</v>
      </c>
      <c r="O71" s="2" t="s">
        <v>83</v>
      </c>
      <c r="P71" s="2" t="s">
        <v>141</v>
      </c>
      <c r="Q71" s="2" t="s">
        <v>73</v>
      </c>
      <c r="R71" t="str">
        <f>IF(OR(I71="Yes", K71 = "Yes"), "Yes", "No")</f>
        <v>No</v>
      </c>
    </row>
    <row r="72" spans="2:18" ht="48" hidden="1" x14ac:dyDescent="0.2">
      <c r="B72" s="2" t="s">
        <v>664</v>
      </c>
      <c r="C72" s="2" t="s">
        <v>665</v>
      </c>
      <c r="D72" s="2" t="s">
        <v>666</v>
      </c>
      <c r="E72" s="2" t="s">
        <v>67</v>
      </c>
      <c r="F72" s="2" t="s">
        <v>667</v>
      </c>
      <c r="G72" s="2" t="s">
        <v>668</v>
      </c>
      <c r="H72" s="2" t="s">
        <v>67</v>
      </c>
      <c r="I72" s="2" t="s">
        <v>67</v>
      </c>
      <c r="J72" s="2" t="s">
        <v>74</v>
      </c>
      <c r="K72" s="2" t="s">
        <v>71</v>
      </c>
      <c r="L72" s="2" t="s">
        <v>67</v>
      </c>
      <c r="M72" s="2" t="s">
        <v>67</v>
      </c>
      <c r="N72" s="2" t="s">
        <v>67</v>
      </c>
      <c r="O72" s="2" t="s">
        <v>669</v>
      </c>
      <c r="P72" s="2" t="s">
        <v>141</v>
      </c>
      <c r="Q72" s="2" t="s">
        <v>73</v>
      </c>
      <c r="R72" t="str">
        <f>IF(OR(I72="Yes", K72 = "Yes"), "Yes", "No")</f>
        <v>No</v>
      </c>
    </row>
    <row r="73" spans="2:18" ht="48" hidden="1" x14ac:dyDescent="0.2">
      <c r="B73" s="2" t="s">
        <v>672</v>
      </c>
      <c r="C73" s="2" t="s">
        <v>673</v>
      </c>
      <c r="D73" s="2" t="s">
        <v>674</v>
      </c>
      <c r="E73" s="2" t="s">
        <v>90</v>
      </c>
      <c r="F73" s="2" t="s">
        <v>675</v>
      </c>
      <c r="G73" s="2" t="s">
        <v>676</v>
      </c>
      <c r="H73" s="2" t="s">
        <v>67</v>
      </c>
      <c r="I73" s="2" t="s">
        <v>67</v>
      </c>
      <c r="J73" s="2" t="s">
        <v>74</v>
      </c>
      <c r="K73" s="2" t="s">
        <v>71</v>
      </c>
      <c r="L73" s="2" t="s">
        <v>67</v>
      </c>
      <c r="M73" s="2" t="s">
        <v>67</v>
      </c>
      <c r="N73" s="2" t="s">
        <v>67</v>
      </c>
      <c r="O73" s="2" t="s">
        <v>680</v>
      </c>
      <c r="P73" s="2" t="s">
        <v>141</v>
      </c>
      <c r="Q73" s="2" t="s">
        <v>73</v>
      </c>
      <c r="R73" t="str">
        <f>IF(OR(I73="Yes", K73 = "Yes"), "Yes", "No")</f>
        <v>No</v>
      </c>
    </row>
    <row r="74" spans="2:18" ht="32" hidden="1" x14ac:dyDescent="0.2">
      <c r="B74" s="2" t="s">
        <v>683</v>
      </c>
      <c r="C74" s="2" t="s">
        <v>684</v>
      </c>
      <c r="D74" s="2" t="s">
        <v>685</v>
      </c>
      <c r="E74" s="2" t="s">
        <v>218</v>
      </c>
      <c r="F74" s="2" t="s">
        <v>686</v>
      </c>
      <c r="G74" s="2" t="s">
        <v>149</v>
      </c>
      <c r="H74" s="2" t="s">
        <v>67</v>
      </c>
      <c r="I74" s="2" t="s">
        <v>67</v>
      </c>
      <c r="J74" s="2" t="s">
        <v>74</v>
      </c>
      <c r="K74" s="2" t="s">
        <v>71</v>
      </c>
      <c r="L74" s="2" t="s">
        <v>67</v>
      </c>
      <c r="M74" s="2" t="s">
        <v>67</v>
      </c>
      <c r="N74" s="2" t="s">
        <v>67</v>
      </c>
      <c r="O74" s="2" t="s">
        <v>72</v>
      </c>
      <c r="P74" s="2" t="s">
        <v>141</v>
      </c>
      <c r="Q74" s="2" t="s">
        <v>73</v>
      </c>
      <c r="R74" t="str">
        <f>IF(OR(I74="Yes", K74 = "Yes"), "Yes", "No")</f>
        <v>No</v>
      </c>
    </row>
    <row r="75" spans="2:18" ht="32" hidden="1" x14ac:dyDescent="0.2">
      <c r="B75" s="2" t="s">
        <v>691</v>
      </c>
      <c r="C75" s="2" t="s">
        <v>692</v>
      </c>
      <c r="D75" s="2" t="s">
        <v>693</v>
      </c>
      <c r="E75" s="2" t="s">
        <v>694</v>
      </c>
      <c r="F75" s="2" t="s">
        <v>695</v>
      </c>
      <c r="G75" s="2" t="s">
        <v>696</v>
      </c>
      <c r="H75" s="2" t="s">
        <v>67</v>
      </c>
      <c r="I75" s="2" t="s">
        <v>67</v>
      </c>
      <c r="J75" s="2" t="s">
        <v>74</v>
      </c>
      <c r="K75" s="2" t="s">
        <v>71</v>
      </c>
      <c r="L75" s="2" t="s">
        <v>67</v>
      </c>
      <c r="M75" s="2" t="s">
        <v>67</v>
      </c>
      <c r="N75" s="2" t="s">
        <v>67</v>
      </c>
      <c r="O75" s="2" t="s">
        <v>700</v>
      </c>
      <c r="P75" s="2" t="s">
        <v>141</v>
      </c>
      <c r="Q75" s="2" t="s">
        <v>73</v>
      </c>
      <c r="R75" t="str">
        <f>IF(OR(I75="Yes", K75 = "Yes"), "Yes", "No")</f>
        <v>No</v>
      </c>
    </row>
    <row r="76" spans="2:18" ht="48" x14ac:dyDescent="0.2">
      <c r="B76" s="2" t="s">
        <v>809</v>
      </c>
      <c r="C76" s="2" t="s">
        <v>810</v>
      </c>
      <c r="D76" s="2" t="s">
        <v>811</v>
      </c>
      <c r="E76" s="2" t="s">
        <v>81</v>
      </c>
      <c r="F76" s="2" t="s">
        <v>82</v>
      </c>
      <c r="G76" s="2" t="s">
        <v>812</v>
      </c>
      <c r="H76" s="2" t="s">
        <v>67</v>
      </c>
      <c r="I76" s="2" t="s">
        <v>67</v>
      </c>
      <c r="J76" s="2" t="s">
        <v>74</v>
      </c>
      <c r="K76" s="2" t="s">
        <v>74</v>
      </c>
      <c r="L76" s="2" t="s">
        <v>816</v>
      </c>
      <c r="M76" s="2" t="s">
        <v>817</v>
      </c>
      <c r="N76" s="2" t="s">
        <v>67</v>
      </c>
      <c r="O76" s="2" t="s">
        <v>796</v>
      </c>
      <c r="P76" s="2" t="s">
        <v>141</v>
      </c>
      <c r="Q76" s="2" t="s">
        <v>73</v>
      </c>
      <c r="R76" t="str">
        <f>IF(OR(I76="Yes", K76 = "Yes"), "Yes", "No")</f>
        <v>Yes</v>
      </c>
    </row>
    <row r="77" spans="2:18" ht="48" hidden="1" x14ac:dyDescent="0.2">
      <c r="B77" s="2" t="s">
        <v>713</v>
      </c>
      <c r="C77" s="2" t="s">
        <v>714</v>
      </c>
      <c r="D77" s="2" t="s">
        <v>715</v>
      </c>
      <c r="E77" s="2" t="s">
        <v>125</v>
      </c>
      <c r="F77" s="2" t="s">
        <v>126</v>
      </c>
      <c r="G77" s="2" t="s">
        <v>533</v>
      </c>
      <c r="H77" s="2" t="s">
        <v>67</v>
      </c>
      <c r="I77" s="2" t="s">
        <v>67</v>
      </c>
      <c r="J77" s="2" t="s">
        <v>74</v>
      </c>
      <c r="K77" s="2" t="s">
        <v>71</v>
      </c>
      <c r="L77" s="2" t="s">
        <v>67</v>
      </c>
      <c r="M77" s="2" t="s">
        <v>67</v>
      </c>
      <c r="N77" s="2" t="s">
        <v>67</v>
      </c>
      <c r="O77" s="2" t="s">
        <v>719</v>
      </c>
      <c r="P77" s="2" t="s">
        <v>141</v>
      </c>
      <c r="Q77" s="2" t="s">
        <v>73</v>
      </c>
      <c r="R77" t="str">
        <f>IF(OR(I77="Yes", K77 = "Yes"), "Yes", "No")</f>
        <v>No</v>
      </c>
    </row>
    <row r="78" spans="2:18" ht="32" hidden="1" x14ac:dyDescent="0.2">
      <c r="B78" s="2" t="s">
        <v>722</v>
      </c>
      <c r="C78" s="2" t="s">
        <v>723</v>
      </c>
      <c r="D78" s="2" t="s">
        <v>724</v>
      </c>
      <c r="E78" s="2" t="s">
        <v>725</v>
      </c>
      <c r="F78" s="2" t="s">
        <v>82</v>
      </c>
      <c r="G78" s="2" t="s">
        <v>676</v>
      </c>
      <c r="H78" s="2" t="s">
        <v>67</v>
      </c>
      <c r="I78" s="2" t="s">
        <v>67</v>
      </c>
      <c r="J78" s="2" t="s">
        <v>74</v>
      </c>
      <c r="K78" s="2" t="s">
        <v>71</v>
      </c>
      <c r="L78" s="2" t="s">
        <v>67</v>
      </c>
      <c r="M78" s="2" t="s">
        <v>67</v>
      </c>
      <c r="N78" s="2" t="s">
        <v>67</v>
      </c>
      <c r="O78" s="2" t="s">
        <v>719</v>
      </c>
      <c r="P78" s="2" t="s">
        <v>141</v>
      </c>
      <c r="Q78" s="2" t="s">
        <v>73</v>
      </c>
      <c r="R78" t="str">
        <f>IF(OR(I78="Yes", K78 = "Yes"), "Yes", "No")</f>
        <v>No</v>
      </c>
    </row>
    <row r="79" spans="2:18" ht="32" hidden="1" x14ac:dyDescent="0.2">
      <c r="B79" s="2" t="s">
        <v>731</v>
      </c>
      <c r="C79" s="2" t="s">
        <v>732</v>
      </c>
      <c r="D79" s="2" t="s">
        <v>733</v>
      </c>
      <c r="E79" s="2" t="s">
        <v>67</v>
      </c>
      <c r="F79" s="2" t="s">
        <v>237</v>
      </c>
      <c r="G79" s="2" t="s">
        <v>734</v>
      </c>
      <c r="H79" s="2" t="s">
        <v>67</v>
      </c>
      <c r="I79" s="2" t="s">
        <v>67</v>
      </c>
      <c r="J79" s="2" t="s">
        <v>74</v>
      </c>
      <c r="K79" s="2" t="s">
        <v>71</v>
      </c>
      <c r="L79" s="2" t="s">
        <v>67</v>
      </c>
      <c r="M79" s="2" t="s">
        <v>67</v>
      </c>
      <c r="N79" s="2" t="s">
        <v>67</v>
      </c>
      <c r="O79" s="2" t="s">
        <v>719</v>
      </c>
      <c r="P79" s="2" t="s">
        <v>141</v>
      </c>
      <c r="Q79" s="2" t="s">
        <v>73</v>
      </c>
      <c r="R79" t="str">
        <f>IF(OR(I79="Yes", K79 = "Yes"), "Yes", "No")</f>
        <v>No</v>
      </c>
    </row>
    <row r="80" spans="2:18" ht="48" hidden="1" x14ac:dyDescent="0.2">
      <c r="B80" s="2" t="s">
        <v>740</v>
      </c>
      <c r="C80" s="2" t="s">
        <v>741</v>
      </c>
      <c r="D80" s="2" t="s">
        <v>742</v>
      </c>
      <c r="E80" s="2" t="s">
        <v>67</v>
      </c>
      <c r="F80" s="2" t="s">
        <v>82</v>
      </c>
      <c r="G80" s="2" t="s">
        <v>394</v>
      </c>
      <c r="H80" s="2" t="s">
        <v>67</v>
      </c>
      <c r="I80" s="2" t="s">
        <v>67</v>
      </c>
      <c r="J80" s="2" t="s">
        <v>74</v>
      </c>
      <c r="K80" s="2" t="s">
        <v>71</v>
      </c>
      <c r="L80" s="2" t="s">
        <v>67</v>
      </c>
      <c r="M80" s="2" t="s">
        <v>67</v>
      </c>
      <c r="N80" s="2" t="s">
        <v>67</v>
      </c>
      <c r="O80" s="2" t="s">
        <v>79</v>
      </c>
      <c r="P80" s="2" t="s">
        <v>141</v>
      </c>
      <c r="Q80" s="2" t="s">
        <v>73</v>
      </c>
      <c r="R80" t="str">
        <f>IF(OR(I80="Yes", K80 = "Yes"), "Yes", "No")</f>
        <v>No</v>
      </c>
    </row>
    <row r="81" spans="2:18" ht="48" hidden="1" x14ac:dyDescent="0.2">
      <c r="B81" s="2" t="s">
        <v>428</v>
      </c>
      <c r="C81" s="2" t="s">
        <v>429</v>
      </c>
      <c r="D81" s="2" t="s">
        <v>430</v>
      </c>
      <c r="E81" s="2" t="s">
        <v>747</v>
      </c>
      <c r="F81" s="2" t="s">
        <v>450</v>
      </c>
      <c r="G81" s="2" t="s">
        <v>748</v>
      </c>
      <c r="H81" s="2" t="s">
        <v>67</v>
      </c>
      <c r="I81" s="2" t="s">
        <v>67</v>
      </c>
      <c r="J81" s="2" t="s">
        <v>74</v>
      </c>
      <c r="K81" s="2" t="s">
        <v>71</v>
      </c>
      <c r="L81" s="2" t="s">
        <v>67</v>
      </c>
      <c r="M81" s="2" t="s">
        <v>67</v>
      </c>
      <c r="N81" s="2" t="s">
        <v>67</v>
      </c>
      <c r="O81" s="2" t="s">
        <v>79</v>
      </c>
      <c r="P81" s="2" t="s">
        <v>141</v>
      </c>
      <c r="Q81" s="2" t="s">
        <v>73</v>
      </c>
      <c r="R81" t="str">
        <f>IF(OR(I81="Yes", K81 = "Yes"), "Yes", "No")</f>
        <v>No</v>
      </c>
    </row>
    <row r="82" spans="2:18" ht="32" hidden="1" x14ac:dyDescent="0.2">
      <c r="B82" s="2" t="s">
        <v>752</v>
      </c>
      <c r="C82" s="2" t="s">
        <v>753</v>
      </c>
      <c r="D82" s="2" t="s">
        <v>754</v>
      </c>
      <c r="E82" s="2" t="s">
        <v>355</v>
      </c>
      <c r="F82" s="2" t="s">
        <v>82</v>
      </c>
      <c r="G82" s="2" t="s">
        <v>755</v>
      </c>
      <c r="H82" s="2" t="s">
        <v>67</v>
      </c>
      <c r="I82" s="2" t="s">
        <v>67</v>
      </c>
      <c r="J82" s="2" t="s">
        <v>74</v>
      </c>
      <c r="K82" s="2" t="s">
        <v>71</v>
      </c>
      <c r="L82" s="2" t="s">
        <v>67</v>
      </c>
      <c r="M82" s="2" t="s">
        <v>67</v>
      </c>
      <c r="N82" s="2" t="s">
        <v>67</v>
      </c>
      <c r="O82" s="2" t="s">
        <v>79</v>
      </c>
      <c r="P82" s="2" t="s">
        <v>141</v>
      </c>
      <c r="Q82" s="2" t="s">
        <v>73</v>
      </c>
      <c r="R82" t="str">
        <f>IF(OR(I82="Yes", K82 = "Yes"), "Yes", "No")</f>
        <v>No</v>
      </c>
    </row>
    <row r="83" spans="2:18" ht="48" hidden="1" x14ac:dyDescent="0.2">
      <c r="B83" s="2" t="s">
        <v>761</v>
      </c>
      <c r="C83" s="2" t="s">
        <v>762</v>
      </c>
      <c r="D83" s="2" t="s">
        <v>763</v>
      </c>
      <c r="E83" s="2" t="s">
        <v>67</v>
      </c>
      <c r="F83" s="2" t="s">
        <v>82</v>
      </c>
      <c r="G83" s="2" t="s">
        <v>256</v>
      </c>
      <c r="H83" s="2" t="s">
        <v>67</v>
      </c>
      <c r="I83" s="2" t="s">
        <v>67</v>
      </c>
      <c r="J83" s="2" t="s">
        <v>74</v>
      </c>
      <c r="K83" s="2" t="s">
        <v>71</v>
      </c>
      <c r="L83" s="2" t="s">
        <v>67</v>
      </c>
      <c r="M83" s="2" t="s">
        <v>67</v>
      </c>
      <c r="N83" s="2" t="s">
        <v>67</v>
      </c>
      <c r="O83" s="2" t="s">
        <v>79</v>
      </c>
      <c r="P83" s="2" t="s">
        <v>141</v>
      </c>
      <c r="Q83" s="2" t="s">
        <v>73</v>
      </c>
      <c r="R83" t="str">
        <f>IF(OR(I83="Yes", K83 = "Yes"), "Yes", "No")</f>
        <v>No</v>
      </c>
    </row>
    <row r="84" spans="2:18" ht="32" hidden="1" x14ac:dyDescent="0.2">
      <c r="B84" s="2" t="s">
        <v>769</v>
      </c>
      <c r="C84" s="2" t="s">
        <v>770</v>
      </c>
      <c r="D84" s="2" t="s">
        <v>771</v>
      </c>
      <c r="E84" s="2" t="s">
        <v>67</v>
      </c>
      <c r="F84" s="2" t="s">
        <v>82</v>
      </c>
      <c r="G84" s="2" t="s">
        <v>772</v>
      </c>
      <c r="H84" s="2" t="s">
        <v>67</v>
      </c>
      <c r="I84" s="2" t="s">
        <v>67</v>
      </c>
      <c r="J84" s="2" t="s">
        <v>74</v>
      </c>
      <c r="K84" s="2" t="s">
        <v>71</v>
      </c>
      <c r="L84" s="2" t="s">
        <v>67</v>
      </c>
      <c r="M84" s="2" t="s">
        <v>67</v>
      </c>
      <c r="N84" s="2" t="s">
        <v>67</v>
      </c>
      <c r="O84" s="2" t="s">
        <v>79</v>
      </c>
      <c r="P84" s="2" t="s">
        <v>141</v>
      </c>
      <c r="Q84" s="2" t="s">
        <v>73</v>
      </c>
      <c r="R84" t="str">
        <f>IF(OR(I84="Yes", K84 = "Yes"), "Yes", "No")</f>
        <v>No</v>
      </c>
    </row>
    <row r="85" spans="2:18" ht="48" x14ac:dyDescent="0.2">
      <c r="B85" s="2" t="s">
        <v>978</v>
      </c>
      <c r="C85" s="2" t="s">
        <v>979</v>
      </c>
      <c r="D85" s="2" t="s">
        <v>980</v>
      </c>
      <c r="E85" s="2" t="s">
        <v>160</v>
      </c>
      <c r="F85" s="2" t="s">
        <v>126</v>
      </c>
      <c r="G85" s="2" t="s">
        <v>266</v>
      </c>
      <c r="H85" s="2" t="s">
        <v>67</v>
      </c>
      <c r="I85" s="2" t="s">
        <v>67</v>
      </c>
      <c r="J85" s="2" t="s">
        <v>74</v>
      </c>
      <c r="K85" s="2" t="s">
        <v>74</v>
      </c>
      <c r="L85" s="2" t="s">
        <v>984</v>
      </c>
      <c r="M85" s="2" t="s">
        <v>985</v>
      </c>
      <c r="N85" s="2" t="s">
        <v>67</v>
      </c>
      <c r="O85" s="2" t="s">
        <v>184</v>
      </c>
      <c r="P85" s="2" t="s">
        <v>141</v>
      </c>
      <c r="Q85" s="2" t="s">
        <v>73</v>
      </c>
      <c r="R85" t="str">
        <f>IF(OR(I85="Yes", K85 = "Yes"), "Yes", "No")</f>
        <v>Yes</v>
      </c>
    </row>
    <row r="86" spans="2:18" ht="48" hidden="1" x14ac:dyDescent="0.2">
      <c r="B86" s="2" t="s">
        <v>790</v>
      </c>
      <c r="C86" s="2" t="s">
        <v>158</v>
      </c>
      <c r="D86" s="2" t="s">
        <v>791</v>
      </c>
      <c r="E86" s="2" t="s">
        <v>67</v>
      </c>
      <c r="F86" s="2" t="s">
        <v>219</v>
      </c>
      <c r="G86" s="2" t="s">
        <v>792</v>
      </c>
      <c r="H86" s="2" t="s">
        <v>67</v>
      </c>
      <c r="I86" s="2" t="s">
        <v>67</v>
      </c>
      <c r="J86" s="2" t="s">
        <v>74</v>
      </c>
      <c r="K86" s="2" t="s">
        <v>71</v>
      </c>
      <c r="L86" s="2" t="s">
        <v>67</v>
      </c>
      <c r="M86" s="2" t="s">
        <v>67</v>
      </c>
      <c r="N86" s="2" t="s">
        <v>67</v>
      </c>
      <c r="O86" s="2" t="s">
        <v>796</v>
      </c>
      <c r="P86" s="2" t="s">
        <v>141</v>
      </c>
      <c r="Q86" s="2" t="s">
        <v>73</v>
      </c>
      <c r="R86" t="str">
        <f>IF(OR(I86="Yes", K86 = "Yes"), "Yes", "No")</f>
        <v>No</v>
      </c>
    </row>
    <row r="87" spans="2:18" ht="32" hidden="1" x14ac:dyDescent="0.2">
      <c r="B87" s="2" t="s">
        <v>799</v>
      </c>
      <c r="C87" s="2" t="s">
        <v>800</v>
      </c>
      <c r="D87" s="2" t="s">
        <v>801</v>
      </c>
      <c r="E87" s="2" t="s">
        <v>67</v>
      </c>
      <c r="F87" s="2" t="s">
        <v>802</v>
      </c>
      <c r="G87" s="2" t="s">
        <v>803</v>
      </c>
      <c r="H87" s="2" t="s">
        <v>67</v>
      </c>
      <c r="I87" s="2" t="s">
        <v>67</v>
      </c>
      <c r="J87" s="2" t="s">
        <v>74</v>
      </c>
      <c r="K87" s="2" t="s">
        <v>71</v>
      </c>
      <c r="L87" s="2" t="s">
        <v>67</v>
      </c>
      <c r="M87" s="2" t="s">
        <v>67</v>
      </c>
      <c r="N87" s="2" t="s">
        <v>67</v>
      </c>
      <c r="O87" s="2" t="s">
        <v>796</v>
      </c>
      <c r="P87" s="2" t="s">
        <v>141</v>
      </c>
      <c r="Q87" s="2" t="s">
        <v>73</v>
      </c>
      <c r="R87" t="str">
        <f>IF(OR(I87="Yes", K87 = "Yes"), "Yes", "No")</f>
        <v>No</v>
      </c>
    </row>
    <row r="88" spans="2:18" ht="32" x14ac:dyDescent="0.2">
      <c r="B88" s="2" t="s">
        <v>585</v>
      </c>
      <c r="C88" s="2" t="s">
        <v>586</v>
      </c>
      <c r="D88" s="2" t="s">
        <v>587</v>
      </c>
      <c r="E88" s="2" t="s">
        <v>588</v>
      </c>
      <c r="F88" s="2" t="s">
        <v>589</v>
      </c>
      <c r="G88" s="2" t="s">
        <v>590</v>
      </c>
      <c r="H88" s="2" t="s">
        <v>71</v>
      </c>
      <c r="I88" s="2" t="s">
        <v>74</v>
      </c>
      <c r="J88" s="2" t="s">
        <v>67</v>
      </c>
      <c r="K88" s="2" t="s">
        <v>67</v>
      </c>
      <c r="L88" s="2" t="s">
        <v>67</v>
      </c>
      <c r="M88" s="2" t="s">
        <v>67</v>
      </c>
      <c r="N88" s="2" t="s">
        <v>67</v>
      </c>
      <c r="O88" s="2" t="s">
        <v>184</v>
      </c>
      <c r="P88" s="2" t="s">
        <v>142</v>
      </c>
      <c r="Q88" s="2" t="s">
        <v>73</v>
      </c>
      <c r="R88" t="str">
        <f>IF(OR(I88="Yes", K88 = "Yes"), "Yes", "No")</f>
        <v>Yes</v>
      </c>
    </row>
    <row r="89" spans="2:18" ht="32" hidden="1" x14ac:dyDescent="0.2">
      <c r="B89" s="2" t="s">
        <v>820</v>
      </c>
      <c r="C89" s="2" t="s">
        <v>821</v>
      </c>
      <c r="D89" s="2" t="s">
        <v>822</v>
      </c>
      <c r="E89" s="2" t="s">
        <v>81</v>
      </c>
      <c r="F89" s="2" t="s">
        <v>237</v>
      </c>
      <c r="G89" s="2" t="s">
        <v>256</v>
      </c>
      <c r="H89" s="2" t="s">
        <v>67</v>
      </c>
      <c r="I89" s="2" t="s">
        <v>67</v>
      </c>
      <c r="J89" s="2" t="s">
        <v>74</v>
      </c>
      <c r="K89" s="2" t="s">
        <v>71</v>
      </c>
      <c r="L89" s="2" t="s">
        <v>67</v>
      </c>
      <c r="M89" s="2" t="s">
        <v>67</v>
      </c>
      <c r="N89" s="2" t="s">
        <v>67</v>
      </c>
      <c r="O89" s="2" t="s">
        <v>796</v>
      </c>
      <c r="P89" s="2" t="s">
        <v>141</v>
      </c>
      <c r="Q89" s="2" t="s">
        <v>73</v>
      </c>
      <c r="R89" t="str">
        <f>IF(OR(I89="Yes", K89 = "Yes"), "Yes", "No")</f>
        <v>No</v>
      </c>
    </row>
    <row r="90" spans="2:18" ht="48" x14ac:dyDescent="0.2">
      <c r="B90" s="2" t="s">
        <v>277</v>
      </c>
      <c r="C90" s="2" t="s">
        <v>278</v>
      </c>
      <c r="D90" s="2" t="s">
        <v>279</v>
      </c>
      <c r="E90" s="2" t="s">
        <v>67</v>
      </c>
      <c r="F90" s="2" t="s">
        <v>82</v>
      </c>
      <c r="G90" s="2" t="s">
        <v>280</v>
      </c>
      <c r="H90" s="2" t="s">
        <v>70</v>
      </c>
      <c r="I90" s="2" t="s">
        <v>74</v>
      </c>
      <c r="J90" s="2" t="s">
        <v>67</v>
      </c>
      <c r="K90" s="2" t="s">
        <v>67</v>
      </c>
      <c r="L90" s="2" t="s">
        <v>284</v>
      </c>
      <c r="M90" s="2" t="s">
        <v>285</v>
      </c>
      <c r="N90" s="2" t="s">
        <v>67</v>
      </c>
      <c r="O90" s="2" t="s">
        <v>242</v>
      </c>
      <c r="P90" s="2" t="s">
        <v>142</v>
      </c>
      <c r="Q90" s="2" t="s">
        <v>73</v>
      </c>
      <c r="R90" t="str">
        <f>IF(OR(I90="Yes", K90 = "Yes"), "Yes", "No")</f>
        <v>Yes</v>
      </c>
    </row>
    <row r="91" spans="2:18" ht="48" hidden="1" x14ac:dyDescent="0.2">
      <c r="B91" s="2" t="s">
        <v>839</v>
      </c>
      <c r="C91" s="2" t="s">
        <v>840</v>
      </c>
      <c r="D91" s="2" t="s">
        <v>841</v>
      </c>
      <c r="E91" s="2" t="s">
        <v>67</v>
      </c>
      <c r="F91" s="2" t="s">
        <v>126</v>
      </c>
      <c r="G91" s="2" t="s">
        <v>842</v>
      </c>
      <c r="H91" s="2" t="s">
        <v>67</v>
      </c>
      <c r="I91" s="2" t="s">
        <v>67</v>
      </c>
      <c r="J91" s="2" t="s">
        <v>74</v>
      </c>
      <c r="K91" s="2" t="s">
        <v>71</v>
      </c>
      <c r="L91" s="2" t="s">
        <v>67</v>
      </c>
      <c r="M91" s="2" t="s">
        <v>67</v>
      </c>
      <c r="N91" s="2" t="s">
        <v>67</v>
      </c>
      <c r="O91" s="2" t="s">
        <v>796</v>
      </c>
      <c r="P91" s="2" t="s">
        <v>141</v>
      </c>
      <c r="Q91" s="2" t="s">
        <v>73</v>
      </c>
      <c r="R91" t="str">
        <f>IF(OR(I91="Yes", K91 = "Yes"), "Yes", "No")</f>
        <v>No</v>
      </c>
    </row>
    <row r="92" spans="2:18" ht="32" hidden="1" x14ac:dyDescent="0.2">
      <c r="B92" s="2" t="s">
        <v>848</v>
      </c>
      <c r="C92" s="2" t="s">
        <v>849</v>
      </c>
      <c r="D92" s="2" t="s">
        <v>850</v>
      </c>
      <c r="E92" s="2" t="s">
        <v>596</v>
      </c>
      <c r="F92" s="2" t="s">
        <v>237</v>
      </c>
      <c r="G92" s="2" t="s">
        <v>851</v>
      </c>
      <c r="H92" s="2" t="s">
        <v>67</v>
      </c>
      <c r="I92" s="2" t="s">
        <v>67</v>
      </c>
      <c r="J92" s="2" t="s">
        <v>74</v>
      </c>
      <c r="K92" s="2" t="s">
        <v>71</v>
      </c>
      <c r="L92" s="2" t="s">
        <v>67</v>
      </c>
      <c r="M92" s="2" t="s">
        <v>67</v>
      </c>
      <c r="N92" s="2" t="s">
        <v>67</v>
      </c>
      <c r="O92" s="2" t="s">
        <v>796</v>
      </c>
      <c r="P92" s="2" t="s">
        <v>141</v>
      </c>
      <c r="Q92" s="2" t="s">
        <v>73</v>
      </c>
      <c r="R92" t="str">
        <f>IF(OR(I92="Yes", K92 = "Yes"), "Yes", "No")</f>
        <v>No</v>
      </c>
    </row>
    <row r="93" spans="2:18" ht="32" hidden="1" x14ac:dyDescent="0.2">
      <c r="B93" s="2" t="s">
        <v>857</v>
      </c>
      <c r="C93" s="2" t="s">
        <v>858</v>
      </c>
      <c r="D93" s="2" t="s">
        <v>859</v>
      </c>
      <c r="E93" s="2" t="s">
        <v>67</v>
      </c>
      <c r="F93" s="2" t="s">
        <v>860</v>
      </c>
      <c r="G93" s="2" t="s">
        <v>861</v>
      </c>
      <c r="H93" s="2" t="s">
        <v>67</v>
      </c>
      <c r="I93" s="2" t="s">
        <v>67</v>
      </c>
      <c r="J93" s="2" t="s">
        <v>74</v>
      </c>
      <c r="K93" s="2" t="s">
        <v>71</v>
      </c>
      <c r="L93" s="2" t="s">
        <v>67</v>
      </c>
      <c r="M93" s="2" t="s">
        <v>67</v>
      </c>
      <c r="N93" s="2" t="s">
        <v>67</v>
      </c>
      <c r="O93" s="2" t="s">
        <v>184</v>
      </c>
      <c r="P93" s="2" t="s">
        <v>141</v>
      </c>
      <c r="Q93" s="2" t="s">
        <v>73</v>
      </c>
      <c r="R93" t="str">
        <f>IF(OR(I93="Yes", K93 = "Yes"), "Yes", "No")</f>
        <v>No</v>
      </c>
    </row>
    <row r="94" spans="2:18" ht="48" hidden="1" x14ac:dyDescent="0.2">
      <c r="B94" s="2" t="s">
        <v>867</v>
      </c>
      <c r="C94" s="2" t="s">
        <v>429</v>
      </c>
      <c r="D94" s="2" t="s">
        <v>868</v>
      </c>
      <c r="E94" s="2" t="s">
        <v>869</v>
      </c>
      <c r="F94" s="2" t="s">
        <v>82</v>
      </c>
      <c r="G94" s="2" t="s">
        <v>870</v>
      </c>
      <c r="H94" s="2" t="s">
        <v>67</v>
      </c>
      <c r="I94" s="2" t="s">
        <v>67</v>
      </c>
      <c r="J94" s="2" t="s">
        <v>74</v>
      </c>
      <c r="K94" s="2" t="s">
        <v>71</v>
      </c>
      <c r="L94" s="2" t="s">
        <v>67</v>
      </c>
      <c r="M94" s="2" t="s">
        <v>67</v>
      </c>
      <c r="N94" s="2" t="s">
        <v>67</v>
      </c>
      <c r="O94" s="2" t="s">
        <v>184</v>
      </c>
      <c r="P94" s="2" t="s">
        <v>141</v>
      </c>
      <c r="Q94" s="2" t="s">
        <v>73</v>
      </c>
      <c r="R94" t="str">
        <f>IF(OR(I94="Yes", K94 = "Yes"), "Yes", "No")</f>
        <v>No</v>
      </c>
    </row>
    <row r="95" spans="2:18" ht="48" hidden="1" x14ac:dyDescent="0.2">
      <c r="B95" s="2" t="s">
        <v>876</v>
      </c>
      <c r="C95" s="2" t="s">
        <v>877</v>
      </c>
      <c r="D95" s="2" t="s">
        <v>878</v>
      </c>
      <c r="E95" s="2" t="s">
        <v>160</v>
      </c>
      <c r="F95" s="2" t="s">
        <v>879</v>
      </c>
      <c r="G95" s="2" t="s">
        <v>676</v>
      </c>
      <c r="H95" s="2" t="s">
        <v>67</v>
      </c>
      <c r="I95" s="2" t="s">
        <v>67</v>
      </c>
      <c r="J95" s="2" t="s">
        <v>74</v>
      </c>
      <c r="K95" s="2" t="s">
        <v>71</v>
      </c>
      <c r="L95" s="2" t="s">
        <v>67</v>
      </c>
      <c r="M95" s="2" t="s">
        <v>67</v>
      </c>
      <c r="N95" s="2" t="s">
        <v>67</v>
      </c>
      <c r="O95" s="2" t="s">
        <v>184</v>
      </c>
      <c r="P95" s="2" t="s">
        <v>141</v>
      </c>
      <c r="Q95" s="2" t="s">
        <v>73</v>
      </c>
      <c r="R95" t="str">
        <f>IF(OR(I95="Yes", K95 = "Yes"), "Yes", "No")</f>
        <v>No</v>
      </c>
    </row>
    <row r="96" spans="2:18" ht="48" hidden="1" x14ac:dyDescent="0.2">
      <c r="B96" s="2" t="s">
        <v>885</v>
      </c>
      <c r="C96" s="2" t="s">
        <v>886</v>
      </c>
      <c r="D96" s="2" t="s">
        <v>887</v>
      </c>
      <c r="E96" s="2" t="s">
        <v>596</v>
      </c>
      <c r="F96" s="2" t="s">
        <v>126</v>
      </c>
      <c r="G96" s="2" t="s">
        <v>888</v>
      </c>
      <c r="H96" s="2" t="s">
        <v>67</v>
      </c>
      <c r="I96" s="2" t="s">
        <v>67</v>
      </c>
      <c r="J96" s="2" t="s">
        <v>74</v>
      </c>
      <c r="K96" s="2" t="s">
        <v>71</v>
      </c>
      <c r="L96" s="2" t="s">
        <v>67</v>
      </c>
      <c r="M96" s="2" t="s">
        <v>67</v>
      </c>
      <c r="N96" s="2" t="s">
        <v>67</v>
      </c>
      <c r="O96" s="2" t="s">
        <v>184</v>
      </c>
      <c r="P96" s="2" t="s">
        <v>141</v>
      </c>
      <c r="Q96" s="2" t="s">
        <v>73</v>
      </c>
      <c r="R96" t="str">
        <f>IF(OR(I96="Yes", K96 = "Yes"), "Yes", "No")</f>
        <v>No</v>
      </c>
    </row>
    <row r="97" spans="2:18" ht="48" hidden="1" x14ac:dyDescent="0.2">
      <c r="B97" s="2" t="s">
        <v>894</v>
      </c>
      <c r="C97" s="2" t="s">
        <v>895</v>
      </c>
      <c r="D97" s="2" t="s">
        <v>896</v>
      </c>
      <c r="E97" s="2" t="s">
        <v>67</v>
      </c>
      <c r="F97" s="2" t="s">
        <v>82</v>
      </c>
      <c r="G97" s="2" t="s">
        <v>772</v>
      </c>
      <c r="H97" s="2" t="s">
        <v>67</v>
      </c>
      <c r="I97" s="2" t="s">
        <v>67</v>
      </c>
      <c r="J97" s="2" t="s">
        <v>74</v>
      </c>
      <c r="K97" s="2" t="s">
        <v>71</v>
      </c>
      <c r="L97" s="2" t="s">
        <v>67</v>
      </c>
      <c r="M97" s="2" t="s">
        <v>67</v>
      </c>
      <c r="N97" s="2" t="s">
        <v>67</v>
      </c>
      <c r="O97" s="2" t="s">
        <v>184</v>
      </c>
      <c r="P97" s="2" t="s">
        <v>141</v>
      </c>
      <c r="Q97" s="2" t="s">
        <v>73</v>
      </c>
      <c r="R97" t="str">
        <f>IF(OR(I97="Yes", K97 = "Yes"), "Yes", "No")</f>
        <v>No</v>
      </c>
    </row>
    <row r="98" spans="2:18" ht="48" hidden="1" x14ac:dyDescent="0.2">
      <c r="B98" s="2" t="s">
        <v>902</v>
      </c>
      <c r="C98" s="2" t="s">
        <v>903</v>
      </c>
      <c r="D98" s="2" t="s">
        <v>904</v>
      </c>
      <c r="E98" s="2" t="s">
        <v>556</v>
      </c>
      <c r="F98" s="2" t="s">
        <v>91</v>
      </c>
      <c r="G98" s="2" t="s">
        <v>905</v>
      </c>
      <c r="H98" s="2" t="s">
        <v>67</v>
      </c>
      <c r="I98" s="2" t="s">
        <v>67</v>
      </c>
      <c r="J98" s="2" t="s">
        <v>74</v>
      </c>
      <c r="K98" s="2" t="s">
        <v>71</v>
      </c>
      <c r="L98" s="2" t="s">
        <v>67</v>
      </c>
      <c r="M98" s="2" t="s">
        <v>67</v>
      </c>
      <c r="N98" s="2" t="s">
        <v>67</v>
      </c>
      <c r="O98" s="2" t="s">
        <v>184</v>
      </c>
      <c r="P98" s="2" t="s">
        <v>141</v>
      </c>
      <c r="Q98" s="2" t="s">
        <v>73</v>
      </c>
      <c r="R98" t="str">
        <f>IF(OR(I98="Yes", K98 = "Yes"), "Yes", "No")</f>
        <v>No</v>
      </c>
    </row>
    <row r="99" spans="2:18" ht="48" hidden="1" x14ac:dyDescent="0.2">
      <c r="B99" s="2" t="s">
        <v>911</v>
      </c>
      <c r="C99" s="2" t="s">
        <v>912</v>
      </c>
      <c r="D99" s="2" t="s">
        <v>913</v>
      </c>
      <c r="E99" s="2" t="s">
        <v>81</v>
      </c>
      <c r="F99" s="2" t="s">
        <v>308</v>
      </c>
      <c r="G99" s="2" t="s">
        <v>772</v>
      </c>
      <c r="H99" s="2" t="s">
        <v>67</v>
      </c>
      <c r="I99" s="2" t="s">
        <v>67</v>
      </c>
      <c r="J99" s="2" t="s">
        <v>74</v>
      </c>
      <c r="K99" s="2" t="s">
        <v>71</v>
      </c>
      <c r="L99" s="2" t="s">
        <v>67</v>
      </c>
      <c r="M99" s="2" t="s">
        <v>67</v>
      </c>
      <c r="N99" s="2" t="s">
        <v>67</v>
      </c>
      <c r="O99" s="2" t="s">
        <v>184</v>
      </c>
      <c r="P99" s="2" t="s">
        <v>141</v>
      </c>
      <c r="Q99" s="2" t="s">
        <v>73</v>
      </c>
      <c r="R99" t="str">
        <f>IF(OR(I99="Yes", K99 = "Yes"), "Yes", "No")</f>
        <v>No</v>
      </c>
    </row>
    <row r="100" spans="2:18" ht="32" hidden="1" x14ac:dyDescent="0.2">
      <c r="B100" s="2" t="s">
        <v>299</v>
      </c>
      <c r="C100" s="2" t="s">
        <v>300</v>
      </c>
      <c r="D100" s="2" t="s">
        <v>307</v>
      </c>
      <c r="E100" s="2" t="s">
        <v>302</v>
      </c>
      <c r="F100" s="2" t="s">
        <v>918</v>
      </c>
      <c r="G100" s="2" t="s">
        <v>304</v>
      </c>
      <c r="H100" s="2" t="s">
        <v>67</v>
      </c>
      <c r="I100" s="2" t="s">
        <v>67</v>
      </c>
      <c r="J100" s="2" t="s">
        <v>74</v>
      </c>
      <c r="K100" s="2" t="s">
        <v>71</v>
      </c>
      <c r="L100" s="2" t="s">
        <v>67</v>
      </c>
      <c r="M100" s="2" t="s">
        <v>67</v>
      </c>
      <c r="N100" s="2" t="s">
        <v>67</v>
      </c>
      <c r="O100" s="2" t="s">
        <v>184</v>
      </c>
      <c r="P100" s="2" t="s">
        <v>141</v>
      </c>
      <c r="Q100" s="2" t="s">
        <v>73</v>
      </c>
      <c r="R100" t="str">
        <f>IF(OR(I100="Yes", K100 = "Yes"), "Yes", "No")</f>
        <v>No</v>
      </c>
    </row>
    <row r="101" spans="2:18" ht="48" hidden="1" x14ac:dyDescent="0.2">
      <c r="B101" s="2" t="s">
        <v>924</v>
      </c>
      <c r="C101" s="2" t="s">
        <v>925</v>
      </c>
      <c r="D101" s="2" t="s">
        <v>926</v>
      </c>
      <c r="E101" s="2" t="s">
        <v>67</v>
      </c>
      <c r="F101" s="2" t="s">
        <v>82</v>
      </c>
      <c r="G101" s="2" t="s">
        <v>927</v>
      </c>
      <c r="H101" s="2" t="s">
        <v>67</v>
      </c>
      <c r="I101" s="2" t="s">
        <v>67</v>
      </c>
      <c r="J101" s="2" t="s">
        <v>74</v>
      </c>
      <c r="K101" s="2" t="s">
        <v>71</v>
      </c>
      <c r="L101" s="2" t="s">
        <v>67</v>
      </c>
      <c r="M101" s="2" t="s">
        <v>67</v>
      </c>
      <c r="N101" s="2" t="s">
        <v>67</v>
      </c>
      <c r="O101" s="2" t="s">
        <v>184</v>
      </c>
      <c r="P101" s="2" t="s">
        <v>141</v>
      </c>
      <c r="Q101" s="2" t="s">
        <v>73</v>
      </c>
      <c r="R101" t="str">
        <f>IF(OR(I101="Yes", K101 = "Yes"), "Yes", "No")</f>
        <v>No</v>
      </c>
    </row>
    <row r="102" spans="2:18" ht="64" hidden="1" x14ac:dyDescent="0.2">
      <c r="B102" s="2" t="s">
        <v>932</v>
      </c>
      <c r="C102" s="2" t="s">
        <v>933</v>
      </c>
      <c r="D102" s="2" t="s">
        <v>934</v>
      </c>
      <c r="E102" s="2" t="s">
        <v>596</v>
      </c>
      <c r="F102" s="2" t="s">
        <v>935</v>
      </c>
      <c r="G102" s="2" t="s">
        <v>356</v>
      </c>
      <c r="H102" s="2" t="s">
        <v>67</v>
      </c>
      <c r="I102" s="2" t="s">
        <v>67</v>
      </c>
      <c r="J102" s="2" t="s">
        <v>74</v>
      </c>
      <c r="K102" s="2" t="s">
        <v>71</v>
      </c>
      <c r="L102" s="2" t="s">
        <v>67</v>
      </c>
      <c r="M102" s="2" t="s">
        <v>67</v>
      </c>
      <c r="N102" s="2" t="s">
        <v>67</v>
      </c>
      <c r="O102" s="2" t="s">
        <v>72</v>
      </c>
      <c r="P102" s="2" t="s">
        <v>141</v>
      </c>
      <c r="Q102" s="2" t="s">
        <v>73</v>
      </c>
      <c r="R102" t="str">
        <f>IF(OR(I102="Yes", K102 = "Yes"), "Yes", "No")</f>
        <v>No</v>
      </c>
    </row>
    <row r="103" spans="2:18" ht="32" hidden="1" x14ac:dyDescent="0.2">
      <c r="B103" s="2" t="s">
        <v>941</v>
      </c>
      <c r="C103" s="2" t="s">
        <v>942</v>
      </c>
      <c r="D103" s="2" t="s">
        <v>943</v>
      </c>
      <c r="E103" s="2" t="s">
        <v>218</v>
      </c>
      <c r="F103" s="2" t="s">
        <v>686</v>
      </c>
      <c r="G103" s="2" t="s">
        <v>944</v>
      </c>
      <c r="H103" s="2" t="s">
        <v>67</v>
      </c>
      <c r="I103" s="2" t="s">
        <v>67</v>
      </c>
      <c r="J103" s="2" t="s">
        <v>74</v>
      </c>
      <c r="K103" s="2" t="s">
        <v>71</v>
      </c>
      <c r="L103" s="2" t="s">
        <v>67</v>
      </c>
      <c r="M103" s="2" t="s">
        <v>67</v>
      </c>
      <c r="N103" s="2" t="s">
        <v>67</v>
      </c>
      <c r="O103" s="2" t="s">
        <v>184</v>
      </c>
      <c r="P103" s="2" t="s">
        <v>141</v>
      </c>
      <c r="Q103" s="2" t="s">
        <v>73</v>
      </c>
      <c r="R103" t="str">
        <f>IF(OR(I103="Yes", K103 = "Yes"), "Yes", "No")</f>
        <v>No</v>
      </c>
    </row>
    <row r="104" spans="2:18" ht="48" hidden="1" x14ac:dyDescent="0.2">
      <c r="B104" s="2" t="s">
        <v>949</v>
      </c>
      <c r="C104" s="2" t="s">
        <v>950</v>
      </c>
      <c r="D104" s="2" t="s">
        <v>951</v>
      </c>
      <c r="E104" s="2" t="s">
        <v>81</v>
      </c>
      <c r="F104" s="2" t="s">
        <v>161</v>
      </c>
      <c r="G104" s="2" t="s">
        <v>952</v>
      </c>
      <c r="H104" s="2" t="s">
        <v>67</v>
      </c>
      <c r="I104" s="2" t="s">
        <v>67</v>
      </c>
      <c r="J104" s="2" t="s">
        <v>74</v>
      </c>
      <c r="K104" s="2" t="s">
        <v>71</v>
      </c>
      <c r="L104" s="2" t="s">
        <v>67</v>
      </c>
      <c r="M104" s="2" t="s">
        <v>67</v>
      </c>
      <c r="N104" s="2" t="s">
        <v>67</v>
      </c>
      <c r="O104" s="2" t="s">
        <v>184</v>
      </c>
      <c r="P104" s="2" t="s">
        <v>141</v>
      </c>
      <c r="Q104" s="2" t="s">
        <v>73</v>
      </c>
      <c r="R104" t="str">
        <f>IF(OR(I104="Yes", K104 = "Yes"), "Yes", "No")</f>
        <v>No</v>
      </c>
    </row>
    <row r="105" spans="2:18" ht="48" x14ac:dyDescent="0.2">
      <c r="B105" s="2" t="s">
        <v>1033</v>
      </c>
      <c r="C105" s="2" t="s">
        <v>1034</v>
      </c>
      <c r="D105" s="2" t="s">
        <v>1035</v>
      </c>
      <c r="E105" s="2" t="s">
        <v>125</v>
      </c>
      <c r="F105" s="2" t="s">
        <v>308</v>
      </c>
      <c r="G105" s="2" t="s">
        <v>256</v>
      </c>
      <c r="H105" s="2" t="s">
        <v>67</v>
      </c>
      <c r="I105" s="2" t="s">
        <v>67</v>
      </c>
      <c r="J105" s="2" t="s">
        <v>74</v>
      </c>
      <c r="K105" s="2" t="s">
        <v>74</v>
      </c>
      <c r="L105" s="2" t="s">
        <v>1039</v>
      </c>
      <c r="M105" s="2" t="s">
        <v>1040</v>
      </c>
      <c r="N105" s="2" t="s">
        <v>67</v>
      </c>
      <c r="O105" s="2" t="s">
        <v>242</v>
      </c>
      <c r="P105" s="2" t="s">
        <v>141</v>
      </c>
      <c r="Q105" s="2" t="s">
        <v>73</v>
      </c>
      <c r="R105" t="str">
        <f>IF(OR(I105="Yes", K105 = "Yes"), "Yes", "No")</f>
        <v>Yes</v>
      </c>
    </row>
    <row r="106" spans="2:18" ht="48" hidden="1" x14ac:dyDescent="0.2">
      <c r="B106" s="2" t="s">
        <v>966</v>
      </c>
      <c r="C106" s="2" t="s">
        <v>966</v>
      </c>
      <c r="D106" s="2" t="s">
        <v>967</v>
      </c>
      <c r="E106" s="2" t="s">
        <v>966</v>
      </c>
      <c r="F106" s="2" t="s">
        <v>966</v>
      </c>
      <c r="G106" s="2" t="s">
        <v>966</v>
      </c>
      <c r="H106" s="2" t="s">
        <v>67</v>
      </c>
      <c r="I106" s="2" t="s">
        <v>67</v>
      </c>
      <c r="J106" s="2" t="s">
        <v>74</v>
      </c>
      <c r="K106" s="2" t="s">
        <v>71</v>
      </c>
      <c r="L106" s="2" t="s">
        <v>67</v>
      </c>
      <c r="M106" s="2" t="s">
        <v>67</v>
      </c>
      <c r="N106" s="2" t="s">
        <v>67</v>
      </c>
      <c r="O106" s="2" t="s">
        <v>184</v>
      </c>
      <c r="P106" s="2" t="s">
        <v>141</v>
      </c>
      <c r="Q106" s="2" t="s">
        <v>73</v>
      </c>
      <c r="R106" t="str">
        <f>IF(OR(I106="Yes", K106 = "Yes"), "Yes", "No")</f>
        <v>No</v>
      </c>
    </row>
    <row r="107" spans="2:18" ht="48" hidden="1" x14ac:dyDescent="0.2">
      <c r="B107" s="2" t="s">
        <v>885</v>
      </c>
      <c r="C107" s="2" t="s">
        <v>970</v>
      </c>
      <c r="D107" s="2" t="s">
        <v>971</v>
      </c>
      <c r="E107" s="2" t="s">
        <v>125</v>
      </c>
      <c r="F107" s="2" t="s">
        <v>118</v>
      </c>
      <c r="G107" s="2" t="s">
        <v>972</v>
      </c>
      <c r="H107" s="2" t="s">
        <v>67</v>
      </c>
      <c r="I107" s="2" t="s">
        <v>67</v>
      </c>
      <c r="J107" s="2" t="s">
        <v>74</v>
      </c>
      <c r="K107" s="2" t="s">
        <v>71</v>
      </c>
      <c r="L107" s="2" t="s">
        <v>67</v>
      </c>
      <c r="M107" s="2" t="s">
        <v>67</v>
      </c>
      <c r="N107" s="2" t="s">
        <v>67</v>
      </c>
      <c r="O107" s="2" t="s">
        <v>184</v>
      </c>
      <c r="P107" s="2" t="s">
        <v>141</v>
      </c>
      <c r="Q107" s="2" t="s">
        <v>73</v>
      </c>
      <c r="R107" t="str">
        <f>IF(OR(I107="Yes", K107 = "Yes"), "Yes", "No")</f>
        <v>No</v>
      </c>
    </row>
    <row r="108" spans="2:18" ht="32" x14ac:dyDescent="0.2">
      <c r="B108" s="2" t="s">
        <v>478</v>
      </c>
      <c r="C108" s="2" t="s">
        <v>479</v>
      </c>
      <c r="D108" s="2" t="s">
        <v>480</v>
      </c>
      <c r="E108" s="2" t="s">
        <v>481</v>
      </c>
      <c r="F108" s="2" t="s">
        <v>450</v>
      </c>
      <c r="G108" s="2" t="s">
        <v>482</v>
      </c>
      <c r="H108" s="2" t="s">
        <v>383</v>
      </c>
      <c r="I108" s="2" t="s">
        <v>74</v>
      </c>
      <c r="J108" s="2" t="s">
        <v>67</v>
      </c>
      <c r="K108" s="2" t="s">
        <v>67</v>
      </c>
      <c r="L108" s="2" t="s">
        <v>486</v>
      </c>
      <c r="M108" s="2" t="s">
        <v>487</v>
      </c>
      <c r="N108" s="2" t="s">
        <v>67</v>
      </c>
      <c r="O108" s="2" t="s">
        <v>455</v>
      </c>
      <c r="P108" s="2" t="s">
        <v>142</v>
      </c>
      <c r="Q108" s="2" t="s">
        <v>73</v>
      </c>
      <c r="R108" t="str">
        <f>IF(OR(I108="Yes", K108 = "Yes"), "Yes", "No")</f>
        <v>Yes</v>
      </c>
    </row>
    <row r="109" spans="2:18" ht="32" hidden="1" x14ac:dyDescent="0.2">
      <c r="B109" s="2" t="s">
        <v>988</v>
      </c>
      <c r="C109" s="2" t="s">
        <v>989</v>
      </c>
      <c r="D109" s="2" t="s">
        <v>990</v>
      </c>
      <c r="E109" s="2" t="s">
        <v>67</v>
      </c>
      <c r="F109" s="2" t="s">
        <v>82</v>
      </c>
      <c r="G109" s="2" t="s">
        <v>991</v>
      </c>
      <c r="H109" s="2" t="s">
        <v>67</v>
      </c>
      <c r="I109" s="2" t="s">
        <v>67</v>
      </c>
      <c r="J109" s="2" t="s">
        <v>74</v>
      </c>
      <c r="K109" s="2" t="s">
        <v>71</v>
      </c>
      <c r="L109" s="2" t="s">
        <v>67</v>
      </c>
      <c r="M109" s="2" t="s">
        <v>67</v>
      </c>
      <c r="N109" s="2" t="s">
        <v>67</v>
      </c>
      <c r="O109" s="2" t="s">
        <v>184</v>
      </c>
      <c r="P109" s="2" t="s">
        <v>141</v>
      </c>
      <c r="Q109" s="2" t="s">
        <v>73</v>
      </c>
      <c r="R109" t="str">
        <f>IF(OR(I109="Yes", K109 = "Yes"), "Yes", "No")</f>
        <v>No</v>
      </c>
    </row>
    <row r="110" spans="2:18" ht="32" hidden="1" x14ac:dyDescent="0.2">
      <c r="B110" s="2" t="s">
        <v>997</v>
      </c>
      <c r="C110" s="2" t="s">
        <v>998</v>
      </c>
      <c r="D110" s="2" t="s">
        <v>999</v>
      </c>
      <c r="E110" s="2" t="s">
        <v>67</v>
      </c>
      <c r="F110" s="2" t="s">
        <v>237</v>
      </c>
      <c r="G110" s="2" t="s">
        <v>482</v>
      </c>
      <c r="H110" s="2" t="s">
        <v>67</v>
      </c>
      <c r="I110" s="2" t="s">
        <v>67</v>
      </c>
      <c r="J110" s="2" t="s">
        <v>74</v>
      </c>
      <c r="K110" s="2" t="s">
        <v>71</v>
      </c>
      <c r="L110" s="2" t="s">
        <v>67</v>
      </c>
      <c r="M110" s="2" t="s">
        <v>67</v>
      </c>
      <c r="N110" s="2" t="s">
        <v>67</v>
      </c>
      <c r="O110" s="2" t="s">
        <v>242</v>
      </c>
      <c r="P110" s="2" t="s">
        <v>141</v>
      </c>
      <c r="Q110" s="2" t="s">
        <v>73</v>
      </c>
      <c r="R110" t="str">
        <f>IF(OR(I110="Yes", K110 = "Yes"), "Yes", "No")</f>
        <v>No</v>
      </c>
    </row>
    <row r="111" spans="2:18" ht="48" hidden="1" x14ac:dyDescent="0.2">
      <c r="B111" s="2" t="s">
        <v>1005</v>
      </c>
      <c r="C111" s="2" t="s">
        <v>1006</v>
      </c>
      <c r="D111" s="2" t="s">
        <v>1007</v>
      </c>
      <c r="E111" s="2" t="s">
        <v>67</v>
      </c>
      <c r="F111" s="2" t="s">
        <v>126</v>
      </c>
      <c r="G111" s="2" t="s">
        <v>533</v>
      </c>
      <c r="H111" s="2" t="s">
        <v>67</v>
      </c>
      <c r="I111" s="2" t="s">
        <v>67</v>
      </c>
      <c r="J111" s="2" t="s">
        <v>71</v>
      </c>
      <c r="K111" s="2" t="s">
        <v>71</v>
      </c>
      <c r="L111" s="2" t="s">
        <v>67</v>
      </c>
      <c r="M111" s="2" t="s">
        <v>67</v>
      </c>
      <c r="N111" s="2" t="s">
        <v>67</v>
      </c>
      <c r="O111" s="2" t="s">
        <v>242</v>
      </c>
      <c r="P111" s="2" t="s">
        <v>141</v>
      </c>
      <c r="Q111" s="2" t="s">
        <v>73</v>
      </c>
      <c r="R111" t="str">
        <f>IF(OR(I111="Yes", K111 = "Yes"), "Yes", "No")</f>
        <v>No</v>
      </c>
    </row>
    <row r="112" spans="2:18" ht="48" hidden="1" x14ac:dyDescent="0.2">
      <c r="B112" s="2" t="s">
        <v>1005</v>
      </c>
      <c r="C112" s="2" t="s">
        <v>1006</v>
      </c>
      <c r="D112" s="2" t="s">
        <v>1007</v>
      </c>
      <c r="E112" s="2" t="s">
        <v>67</v>
      </c>
      <c r="F112" s="2" t="s">
        <v>450</v>
      </c>
      <c r="G112" s="2" t="s">
        <v>1009</v>
      </c>
      <c r="H112" s="2" t="s">
        <v>67</v>
      </c>
      <c r="I112" s="2" t="s">
        <v>67</v>
      </c>
      <c r="J112" s="2" t="s">
        <v>74</v>
      </c>
      <c r="K112" s="2" t="s">
        <v>71</v>
      </c>
      <c r="L112" s="2" t="s">
        <v>67</v>
      </c>
      <c r="M112" s="2" t="s">
        <v>67</v>
      </c>
      <c r="N112" s="2" t="s">
        <v>67</v>
      </c>
      <c r="O112" s="2" t="s">
        <v>242</v>
      </c>
      <c r="P112" s="2" t="s">
        <v>141</v>
      </c>
      <c r="Q112" s="2" t="s">
        <v>73</v>
      </c>
      <c r="R112" t="str">
        <f>IF(OR(I112="Yes", K112 = "Yes"), "Yes", "No")</f>
        <v>No</v>
      </c>
    </row>
    <row r="113" spans="2:18" ht="48" hidden="1" x14ac:dyDescent="0.2">
      <c r="B113" s="2" t="s">
        <v>1015</v>
      </c>
      <c r="C113" s="2" t="s">
        <v>1016</v>
      </c>
      <c r="D113" s="2" t="s">
        <v>602</v>
      </c>
      <c r="E113" s="2" t="s">
        <v>125</v>
      </c>
      <c r="F113" s="2" t="s">
        <v>82</v>
      </c>
      <c r="G113" s="2" t="s">
        <v>812</v>
      </c>
      <c r="H113" s="2" t="s">
        <v>67</v>
      </c>
      <c r="I113" s="2" t="s">
        <v>67</v>
      </c>
      <c r="J113" s="2" t="s">
        <v>74</v>
      </c>
      <c r="K113" s="2" t="s">
        <v>71</v>
      </c>
      <c r="L113" s="2" t="s">
        <v>67</v>
      </c>
      <c r="M113" s="2" t="s">
        <v>67</v>
      </c>
      <c r="N113" s="2" t="s">
        <v>67</v>
      </c>
      <c r="O113" s="2" t="s">
        <v>242</v>
      </c>
      <c r="P113" s="2" t="s">
        <v>141</v>
      </c>
      <c r="Q113" s="2" t="s">
        <v>73</v>
      </c>
      <c r="R113" t="str">
        <f>IF(OR(I113="Yes", K113 = "Yes"), "Yes", "No")</f>
        <v>No</v>
      </c>
    </row>
    <row r="114" spans="2:18" ht="64" hidden="1" x14ac:dyDescent="0.2">
      <c r="B114" s="2" t="s">
        <v>1005</v>
      </c>
      <c r="C114" s="2" t="s">
        <v>1006</v>
      </c>
      <c r="D114" s="2" t="s">
        <v>1021</v>
      </c>
      <c r="E114" s="2" t="s">
        <v>67</v>
      </c>
      <c r="F114" s="2" t="s">
        <v>126</v>
      </c>
      <c r="G114" s="2" t="s">
        <v>533</v>
      </c>
      <c r="H114" s="2" t="s">
        <v>67</v>
      </c>
      <c r="I114" s="2" t="s">
        <v>67</v>
      </c>
      <c r="J114" s="2" t="s">
        <v>74</v>
      </c>
      <c r="K114" s="2" t="s">
        <v>71</v>
      </c>
      <c r="L114" s="2" t="s">
        <v>67</v>
      </c>
      <c r="M114" s="2" t="s">
        <v>67</v>
      </c>
      <c r="N114" s="2" t="s">
        <v>67</v>
      </c>
      <c r="O114" s="2" t="s">
        <v>242</v>
      </c>
      <c r="P114" s="2" t="s">
        <v>141</v>
      </c>
      <c r="Q114" s="2" t="s">
        <v>73</v>
      </c>
      <c r="R114" t="str">
        <f>IF(OR(I114="Yes", K114 = "Yes"), "Yes", "No")</f>
        <v>No</v>
      </c>
    </row>
    <row r="115" spans="2:18" ht="48" hidden="1" x14ac:dyDescent="0.2">
      <c r="B115" s="2" t="s">
        <v>1024</v>
      </c>
      <c r="C115" s="2" t="s">
        <v>779</v>
      </c>
      <c r="D115" s="2" t="s">
        <v>1025</v>
      </c>
      <c r="E115" s="2" t="s">
        <v>1026</v>
      </c>
      <c r="F115" s="2" t="s">
        <v>316</v>
      </c>
      <c r="G115" s="2" t="s">
        <v>1027</v>
      </c>
      <c r="H115" s="2" t="s">
        <v>67</v>
      </c>
      <c r="I115" s="2" t="s">
        <v>67</v>
      </c>
      <c r="J115" s="2" t="s">
        <v>74</v>
      </c>
      <c r="K115" s="2" t="s">
        <v>71</v>
      </c>
      <c r="L115" s="2" t="s">
        <v>67</v>
      </c>
      <c r="M115" s="2" t="s">
        <v>67</v>
      </c>
      <c r="N115" s="2" t="s">
        <v>67</v>
      </c>
      <c r="O115" s="2" t="s">
        <v>242</v>
      </c>
      <c r="P115" s="2" t="s">
        <v>141</v>
      </c>
      <c r="Q115" s="2" t="s">
        <v>73</v>
      </c>
      <c r="R115" t="str">
        <f>IF(OR(I115="Yes", K115 = "Yes"), "Yes", "No")</f>
        <v>No</v>
      </c>
    </row>
    <row r="116" spans="2:18" ht="48" x14ac:dyDescent="0.2">
      <c r="B116" s="2" t="s">
        <v>288</v>
      </c>
      <c r="C116" s="2" t="s">
        <v>289</v>
      </c>
      <c r="D116" s="2" t="s">
        <v>290</v>
      </c>
      <c r="E116" s="2" t="s">
        <v>67</v>
      </c>
      <c r="F116" s="2" t="s">
        <v>291</v>
      </c>
      <c r="G116" s="2" t="s">
        <v>280</v>
      </c>
      <c r="H116" s="2" t="s">
        <v>70</v>
      </c>
      <c r="I116" s="2" t="s">
        <v>74</v>
      </c>
      <c r="J116" s="2" t="s">
        <v>67</v>
      </c>
      <c r="K116" s="2" t="s">
        <v>67</v>
      </c>
      <c r="L116" s="2" t="s">
        <v>295</v>
      </c>
      <c r="M116" s="2" t="s">
        <v>296</v>
      </c>
      <c r="N116" s="2" t="s">
        <v>67</v>
      </c>
      <c r="O116" s="2" t="s">
        <v>242</v>
      </c>
      <c r="P116" s="2" t="s">
        <v>142</v>
      </c>
      <c r="Q116" s="2" t="s">
        <v>73</v>
      </c>
      <c r="R116" t="str">
        <f>IF(OR(I116="Yes", K116 = "Yes"), "Yes", "No")</f>
        <v>Yes</v>
      </c>
    </row>
    <row r="117" spans="2:18" ht="32" hidden="1" x14ac:dyDescent="0.2">
      <c r="B117" s="2" t="s">
        <v>1043</v>
      </c>
      <c r="C117" s="2" t="s">
        <v>1044</v>
      </c>
      <c r="D117" s="2" t="s">
        <v>1045</v>
      </c>
      <c r="E117" s="2" t="s">
        <v>1046</v>
      </c>
      <c r="F117" s="2" t="s">
        <v>1047</v>
      </c>
      <c r="G117" s="2" t="s">
        <v>1048</v>
      </c>
      <c r="H117" s="2" t="s">
        <v>67</v>
      </c>
      <c r="I117" s="2" t="s">
        <v>67</v>
      </c>
      <c r="J117" s="2" t="s">
        <v>74</v>
      </c>
      <c r="K117" s="2" t="s">
        <v>71</v>
      </c>
      <c r="L117" s="2" t="s">
        <v>67</v>
      </c>
      <c r="M117" s="2" t="s">
        <v>67</v>
      </c>
      <c r="N117" s="2" t="s">
        <v>67</v>
      </c>
      <c r="O117" s="2" t="s">
        <v>242</v>
      </c>
      <c r="P117" s="2" t="s">
        <v>141</v>
      </c>
      <c r="Q117" s="2" t="s">
        <v>73</v>
      </c>
      <c r="R117" t="str">
        <f>IF(OR(I117="Yes", K117 = "Yes"), "Yes", "No")</f>
        <v>No</v>
      </c>
    </row>
    <row r="118" spans="2:18" ht="48" hidden="1" x14ac:dyDescent="0.2">
      <c r="B118" s="2" t="s">
        <v>1054</v>
      </c>
      <c r="C118" s="2" t="s">
        <v>1055</v>
      </c>
      <c r="D118" s="2" t="s">
        <v>1056</v>
      </c>
      <c r="E118" s="2" t="s">
        <v>90</v>
      </c>
      <c r="F118" s="2" t="s">
        <v>126</v>
      </c>
      <c r="G118" s="2" t="s">
        <v>1057</v>
      </c>
      <c r="H118" s="2" t="s">
        <v>67</v>
      </c>
      <c r="I118" s="2" t="s">
        <v>67</v>
      </c>
      <c r="J118" s="2" t="s">
        <v>74</v>
      </c>
      <c r="K118" s="2" t="s">
        <v>71</v>
      </c>
      <c r="L118" s="2" t="s">
        <v>67</v>
      </c>
      <c r="M118" s="2" t="s">
        <v>67</v>
      </c>
      <c r="N118" s="2" t="s">
        <v>67</v>
      </c>
      <c r="O118" s="2" t="s">
        <v>79</v>
      </c>
      <c r="P118" s="2" t="s">
        <v>141</v>
      </c>
      <c r="Q118" s="2" t="s">
        <v>73</v>
      </c>
      <c r="R118" t="str">
        <f>IF(OR(I118="Yes", K118 = "Yes"), "Yes", "No")</f>
        <v>No</v>
      </c>
    </row>
    <row r="119" spans="2:18" ht="48" hidden="1" x14ac:dyDescent="0.2">
      <c r="B119" s="2" t="s">
        <v>1063</v>
      </c>
      <c r="C119" s="2" t="s">
        <v>1064</v>
      </c>
      <c r="D119" s="2" t="s">
        <v>1065</v>
      </c>
      <c r="E119" s="2" t="s">
        <v>90</v>
      </c>
      <c r="F119" s="2" t="s">
        <v>126</v>
      </c>
      <c r="G119" s="2" t="s">
        <v>256</v>
      </c>
      <c r="H119" s="2" t="s">
        <v>67</v>
      </c>
      <c r="I119" s="2" t="s">
        <v>67</v>
      </c>
      <c r="J119" s="2" t="s">
        <v>74</v>
      </c>
      <c r="K119" s="2" t="s">
        <v>71</v>
      </c>
      <c r="L119" s="2" t="s">
        <v>67</v>
      </c>
      <c r="M119" s="2" t="s">
        <v>67</v>
      </c>
      <c r="N119" s="2" t="s">
        <v>67</v>
      </c>
      <c r="O119" s="2" t="s">
        <v>72</v>
      </c>
      <c r="P119" s="2" t="s">
        <v>141</v>
      </c>
      <c r="Q119" s="2" t="s">
        <v>73</v>
      </c>
      <c r="R119" t="str">
        <f>IF(OR(I119="Yes", K119 = "Yes"), "Yes", "No")</f>
        <v>No</v>
      </c>
    </row>
    <row r="120" spans="2:18" ht="48" x14ac:dyDescent="0.2">
      <c r="B120" s="2" t="s">
        <v>468</v>
      </c>
      <c r="C120" s="2" t="s">
        <v>469</v>
      </c>
      <c r="D120" s="2" t="s">
        <v>470</v>
      </c>
      <c r="E120" s="2" t="s">
        <v>90</v>
      </c>
      <c r="F120" s="2" t="s">
        <v>126</v>
      </c>
      <c r="G120" s="2" t="s">
        <v>371</v>
      </c>
      <c r="H120" s="2" t="s">
        <v>70</v>
      </c>
      <c r="I120" s="2" t="s">
        <v>74</v>
      </c>
      <c r="J120" s="2" t="s">
        <v>67</v>
      </c>
      <c r="K120" s="2" t="s">
        <v>67</v>
      </c>
      <c r="L120" s="2" t="s">
        <v>474</v>
      </c>
      <c r="M120" s="2" t="s">
        <v>475</v>
      </c>
      <c r="N120" s="2" t="s">
        <v>67</v>
      </c>
      <c r="O120" s="2" t="s">
        <v>455</v>
      </c>
      <c r="P120" s="2" t="s">
        <v>142</v>
      </c>
      <c r="Q120" s="2" t="s">
        <v>73</v>
      </c>
      <c r="R120" t="str">
        <f>IF(OR(I120="Yes", K120 = "Yes"), "Yes", "No")</f>
        <v>Yes</v>
      </c>
    </row>
    <row r="121" spans="2:18" ht="32" hidden="1" x14ac:dyDescent="0.2">
      <c r="B121" s="2" t="s">
        <v>1075</v>
      </c>
      <c r="C121" s="2" t="s">
        <v>1076</v>
      </c>
      <c r="D121" s="2" t="s">
        <v>1077</v>
      </c>
      <c r="E121" s="2" t="s">
        <v>67</v>
      </c>
      <c r="F121" s="2" t="s">
        <v>82</v>
      </c>
      <c r="G121" s="2" t="s">
        <v>1078</v>
      </c>
      <c r="H121" s="2" t="s">
        <v>67</v>
      </c>
      <c r="I121" s="2" t="s">
        <v>67</v>
      </c>
      <c r="J121" s="2" t="s">
        <v>74</v>
      </c>
      <c r="K121" s="2" t="s">
        <v>71</v>
      </c>
      <c r="L121" s="2" t="s">
        <v>67</v>
      </c>
      <c r="M121" s="2" t="s">
        <v>67</v>
      </c>
      <c r="N121" s="2" t="s">
        <v>67</v>
      </c>
      <c r="O121" s="2" t="s">
        <v>242</v>
      </c>
      <c r="P121" s="2" t="s">
        <v>141</v>
      </c>
      <c r="Q121" s="2" t="s">
        <v>73</v>
      </c>
      <c r="R121" t="str">
        <f>IF(OR(I121="Yes", K121 = "Yes"), "Yes", "No")</f>
        <v>No</v>
      </c>
    </row>
    <row r="122" spans="2:18" ht="48" hidden="1" x14ac:dyDescent="0.2">
      <c r="B122" s="2" t="s">
        <v>1084</v>
      </c>
      <c r="C122" s="2" t="s">
        <v>563</v>
      </c>
      <c r="D122" s="2" t="s">
        <v>1085</v>
      </c>
      <c r="E122" s="2" t="s">
        <v>67</v>
      </c>
      <c r="F122" s="2" t="s">
        <v>82</v>
      </c>
      <c r="G122" s="2" t="s">
        <v>944</v>
      </c>
      <c r="H122" s="2" t="s">
        <v>67</v>
      </c>
      <c r="I122" s="2" t="s">
        <v>67</v>
      </c>
      <c r="J122" s="2" t="s">
        <v>74</v>
      </c>
      <c r="K122" s="2" t="s">
        <v>71</v>
      </c>
      <c r="L122" s="2" t="s">
        <v>67</v>
      </c>
      <c r="M122" s="2" t="s">
        <v>67</v>
      </c>
      <c r="N122" s="2" t="s">
        <v>67</v>
      </c>
      <c r="O122" s="2" t="s">
        <v>242</v>
      </c>
      <c r="P122" s="2" t="s">
        <v>141</v>
      </c>
      <c r="Q122" s="2" t="s">
        <v>73</v>
      </c>
      <c r="R122" t="str">
        <f>IF(OR(I122="Yes", K122 = "Yes"), "Yes", "No")</f>
        <v>No</v>
      </c>
    </row>
    <row r="123" spans="2:18" ht="48" hidden="1" x14ac:dyDescent="0.2">
      <c r="B123" s="2" t="s">
        <v>1091</v>
      </c>
      <c r="C123" s="2" t="s">
        <v>1092</v>
      </c>
      <c r="D123" s="2" t="s">
        <v>1093</v>
      </c>
      <c r="E123" s="2" t="s">
        <v>67</v>
      </c>
      <c r="F123" s="2" t="s">
        <v>82</v>
      </c>
      <c r="G123" s="2" t="s">
        <v>1094</v>
      </c>
      <c r="H123" s="2" t="s">
        <v>67</v>
      </c>
      <c r="I123" s="2" t="s">
        <v>67</v>
      </c>
      <c r="J123" s="2" t="s">
        <v>74</v>
      </c>
      <c r="K123" s="2" t="s">
        <v>71</v>
      </c>
      <c r="L123" s="2" t="s">
        <v>67</v>
      </c>
      <c r="M123" s="2" t="s">
        <v>67</v>
      </c>
      <c r="N123" s="2" t="s">
        <v>67</v>
      </c>
      <c r="O123" s="2" t="s">
        <v>242</v>
      </c>
      <c r="P123" s="2" t="s">
        <v>141</v>
      </c>
      <c r="Q123" s="2" t="s">
        <v>73</v>
      </c>
      <c r="R123" t="str">
        <f>IF(OR(I123="Yes", K123 = "Yes"), "Yes", "No")</f>
        <v>No</v>
      </c>
    </row>
    <row r="124" spans="2:18" ht="48" x14ac:dyDescent="0.2">
      <c r="B124" s="2" t="s">
        <v>703</v>
      </c>
      <c r="C124" s="2" t="s">
        <v>704</v>
      </c>
      <c r="D124" s="2" t="s">
        <v>705</v>
      </c>
      <c r="E124" s="2" t="s">
        <v>706</v>
      </c>
      <c r="F124" s="2" t="s">
        <v>325</v>
      </c>
      <c r="G124" s="2" t="s">
        <v>707</v>
      </c>
      <c r="H124" s="2" t="s">
        <v>67</v>
      </c>
      <c r="I124" s="2" t="s">
        <v>67</v>
      </c>
      <c r="J124" s="2" t="s">
        <v>74</v>
      </c>
      <c r="K124" s="2" t="s">
        <v>74</v>
      </c>
      <c r="L124" s="2" t="s">
        <v>706</v>
      </c>
      <c r="M124" s="2" t="s">
        <v>706</v>
      </c>
      <c r="N124" s="2" t="s">
        <v>67</v>
      </c>
      <c r="O124" s="2" t="s">
        <v>700</v>
      </c>
      <c r="P124" s="2" t="s">
        <v>141</v>
      </c>
      <c r="Q124" s="2" t="s">
        <v>73</v>
      </c>
      <c r="R124" t="str">
        <f>IF(OR(I124="Yes", K124 = "Yes"), "Yes", "No")</f>
        <v>Yes</v>
      </c>
    </row>
    <row r="125" spans="2:18" ht="32" hidden="1" x14ac:dyDescent="0.2">
      <c r="B125" s="2" t="s">
        <v>902</v>
      </c>
      <c r="C125" s="2" t="s">
        <v>1110</v>
      </c>
      <c r="D125" s="2" t="s">
        <v>1111</v>
      </c>
      <c r="E125" s="2" t="s">
        <v>1112</v>
      </c>
      <c r="F125" s="2" t="s">
        <v>879</v>
      </c>
      <c r="G125" s="2" t="s">
        <v>1113</v>
      </c>
      <c r="H125" s="2" t="s">
        <v>67</v>
      </c>
      <c r="I125" s="2" t="s">
        <v>67</v>
      </c>
      <c r="J125" s="2" t="s">
        <v>74</v>
      </c>
      <c r="K125" s="2" t="s">
        <v>71</v>
      </c>
      <c r="L125" s="2" t="s">
        <v>67</v>
      </c>
      <c r="M125" s="2" t="s">
        <v>67</v>
      </c>
      <c r="N125" s="2" t="s">
        <v>67</v>
      </c>
      <c r="O125" s="2" t="s">
        <v>242</v>
      </c>
      <c r="P125" s="2" t="s">
        <v>141</v>
      </c>
      <c r="Q125" s="2" t="s">
        <v>73</v>
      </c>
      <c r="R125" t="str">
        <f>IF(OR(I125="Yes", K125 = "Yes"), "Yes", "No")</f>
        <v>No</v>
      </c>
    </row>
    <row r="126" spans="2:18" ht="32" hidden="1" x14ac:dyDescent="0.2">
      <c r="B126" s="2" t="s">
        <v>1119</v>
      </c>
      <c r="C126" s="2" t="s">
        <v>1120</v>
      </c>
      <c r="D126" s="2" t="s">
        <v>1121</v>
      </c>
      <c r="E126" s="2" t="s">
        <v>67</v>
      </c>
      <c r="F126" s="2" t="s">
        <v>1122</v>
      </c>
      <c r="G126" s="2" t="s">
        <v>1123</v>
      </c>
      <c r="H126" s="2" t="s">
        <v>67</v>
      </c>
      <c r="I126" s="2" t="s">
        <v>67</v>
      </c>
      <c r="J126" s="2" t="s">
        <v>74</v>
      </c>
      <c r="K126" s="2" t="s">
        <v>71</v>
      </c>
      <c r="L126" s="2" t="s">
        <v>67</v>
      </c>
      <c r="M126" s="2" t="s">
        <v>67</v>
      </c>
      <c r="N126" s="2" t="s">
        <v>67</v>
      </c>
      <c r="O126" s="2" t="s">
        <v>242</v>
      </c>
      <c r="P126" s="2" t="s">
        <v>141</v>
      </c>
      <c r="Q126" s="2" t="s">
        <v>73</v>
      </c>
      <c r="R126" t="str">
        <f>IF(OR(I126="Yes", K126 = "Yes"), "Yes", "No")</f>
        <v>No</v>
      </c>
    </row>
    <row r="127" spans="2:18" ht="32" hidden="1" x14ac:dyDescent="0.2">
      <c r="B127" s="2" t="s">
        <v>683</v>
      </c>
      <c r="C127" s="2" t="s">
        <v>684</v>
      </c>
      <c r="D127" s="2" t="s">
        <v>685</v>
      </c>
      <c r="E127" s="2" t="s">
        <v>218</v>
      </c>
      <c r="F127" s="2" t="s">
        <v>686</v>
      </c>
      <c r="G127" s="2" t="s">
        <v>149</v>
      </c>
      <c r="H127" s="2" t="s">
        <v>67</v>
      </c>
      <c r="I127" s="2" t="s">
        <v>67</v>
      </c>
      <c r="J127" s="2" t="s">
        <v>74</v>
      </c>
      <c r="K127" s="2" t="s">
        <v>71</v>
      </c>
      <c r="L127" s="2" t="s">
        <v>67</v>
      </c>
      <c r="M127" s="2" t="s">
        <v>67</v>
      </c>
      <c r="N127" s="2" t="s">
        <v>67</v>
      </c>
      <c r="O127" s="2" t="s">
        <v>242</v>
      </c>
      <c r="P127" s="2" t="s">
        <v>141</v>
      </c>
      <c r="Q127" s="2" t="s">
        <v>73</v>
      </c>
      <c r="R127" t="str">
        <f>IF(OR(I127="Yes", K127 = "Yes"), "Yes", "No")</f>
        <v>No</v>
      </c>
    </row>
    <row r="128" spans="2:18" ht="32" hidden="1" x14ac:dyDescent="0.2">
      <c r="B128" s="2" t="s">
        <v>633</v>
      </c>
      <c r="C128" s="2" t="s">
        <v>633</v>
      </c>
      <c r="D128" s="2" t="s">
        <v>1133</v>
      </c>
      <c r="E128" s="2" t="s">
        <v>67</v>
      </c>
      <c r="F128" s="2" t="s">
        <v>633</v>
      </c>
      <c r="G128" s="2" t="s">
        <v>633</v>
      </c>
      <c r="H128" s="2" t="s">
        <v>67</v>
      </c>
      <c r="I128" s="2" t="s">
        <v>67</v>
      </c>
      <c r="J128" s="2" t="s">
        <v>74</v>
      </c>
      <c r="K128" s="2" t="s">
        <v>71</v>
      </c>
      <c r="L128" s="2" t="s">
        <v>67</v>
      </c>
      <c r="M128" s="2" t="s">
        <v>67</v>
      </c>
      <c r="N128" s="2" t="s">
        <v>67</v>
      </c>
      <c r="O128" s="2" t="s">
        <v>72</v>
      </c>
      <c r="P128" s="2" t="s">
        <v>141</v>
      </c>
      <c r="Q128" s="2" t="s">
        <v>73</v>
      </c>
      <c r="R128" t="str">
        <f>IF(OR(I128="Yes", K128 = "Yes"), "Yes", "No")</f>
        <v>No</v>
      </c>
    </row>
    <row r="129" spans="2:18" ht="48" hidden="1" x14ac:dyDescent="0.2">
      <c r="B129" s="2" t="s">
        <v>1136</v>
      </c>
      <c r="C129" s="2" t="s">
        <v>1137</v>
      </c>
      <c r="D129" s="2" t="s">
        <v>1138</v>
      </c>
      <c r="E129" s="2" t="s">
        <v>67</v>
      </c>
      <c r="F129" s="2" t="s">
        <v>237</v>
      </c>
      <c r="G129" s="2" t="s">
        <v>1139</v>
      </c>
      <c r="H129" s="2" t="s">
        <v>67</v>
      </c>
      <c r="I129" s="2" t="s">
        <v>67</v>
      </c>
      <c r="J129" s="2" t="s">
        <v>74</v>
      </c>
      <c r="K129" s="2" t="s">
        <v>71</v>
      </c>
      <c r="L129" s="2" t="s">
        <v>67</v>
      </c>
      <c r="M129" s="2" t="s">
        <v>67</v>
      </c>
      <c r="N129" s="2" t="s">
        <v>67</v>
      </c>
      <c r="O129" s="2" t="s">
        <v>242</v>
      </c>
      <c r="P129" s="2" t="s">
        <v>141</v>
      </c>
      <c r="Q129" s="2" t="s">
        <v>73</v>
      </c>
      <c r="R129" t="str">
        <f>IF(OR(I129="Yes", K129 = "Yes"), "Yes", "No")</f>
        <v>No</v>
      </c>
    </row>
    <row r="130" spans="2:18" ht="32" hidden="1" x14ac:dyDescent="0.2">
      <c r="B130" s="2" t="s">
        <v>1145</v>
      </c>
      <c r="C130" s="2" t="s">
        <v>1146</v>
      </c>
      <c r="D130" s="2" t="s">
        <v>1147</v>
      </c>
      <c r="E130" s="2" t="s">
        <v>67</v>
      </c>
      <c r="F130" s="2" t="s">
        <v>82</v>
      </c>
      <c r="G130" s="2" t="s">
        <v>1148</v>
      </c>
      <c r="H130" s="2" t="s">
        <v>67</v>
      </c>
      <c r="I130" s="2" t="s">
        <v>67</v>
      </c>
      <c r="J130" s="2" t="s">
        <v>74</v>
      </c>
      <c r="K130" s="2" t="s">
        <v>71</v>
      </c>
      <c r="L130" s="2" t="s">
        <v>67</v>
      </c>
      <c r="M130" s="2" t="s">
        <v>67</v>
      </c>
      <c r="N130" s="2" t="s">
        <v>67</v>
      </c>
      <c r="O130" s="2" t="s">
        <v>242</v>
      </c>
      <c r="P130" s="2" t="s">
        <v>141</v>
      </c>
      <c r="Q130" s="2" t="s">
        <v>73</v>
      </c>
      <c r="R130" t="str">
        <f>IF(OR(I130="Yes", K130 = "Yes"), "Yes", "No")</f>
        <v>No</v>
      </c>
    </row>
    <row r="131" spans="2:18" ht="48" hidden="1" x14ac:dyDescent="0.2">
      <c r="B131" s="2" t="s">
        <v>1154</v>
      </c>
      <c r="C131" s="2" t="s">
        <v>1155</v>
      </c>
      <c r="D131" s="2" t="s">
        <v>1156</v>
      </c>
      <c r="E131" s="2" t="s">
        <v>67</v>
      </c>
      <c r="F131" s="2" t="s">
        <v>1157</v>
      </c>
      <c r="G131" s="2" t="s">
        <v>1158</v>
      </c>
      <c r="H131" s="2" t="s">
        <v>67</v>
      </c>
      <c r="I131" s="2" t="s">
        <v>67</v>
      </c>
      <c r="J131" s="2" t="s">
        <v>74</v>
      </c>
      <c r="K131" s="2" t="s">
        <v>71</v>
      </c>
      <c r="L131" s="2" t="s">
        <v>67</v>
      </c>
      <c r="M131" s="2" t="s">
        <v>67</v>
      </c>
      <c r="N131" s="2" t="s">
        <v>67</v>
      </c>
      <c r="O131" s="2" t="s">
        <v>242</v>
      </c>
      <c r="P131" s="2" t="s">
        <v>141</v>
      </c>
      <c r="Q131" s="2" t="s">
        <v>73</v>
      </c>
      <c r="R131" t="str">
        <f>IF(OR(I131="Yes", K131 = "Yes"), "Yes", "No")</f>
        <v>No</v>
      </c>
    </row>
    <row r="132" spans="2:18" ht="48" hidden="1" x14ac:dyDescent="0.2">
      <c r="B132" s="2" t="s">
        <v>1154</v>
      </c>
      <c r="C132" s="2" t="s">
        <v>1155</v>
      </c>
      <c r="D132" s="2" t="s">
        <v>1156</v>
      </c>
      <c r="E132" s="2" t="s">
        <v>67</v>
      </c>
      <c r="F132" s="2" t="s">
        <v>1157</v>
      </c>
      <c r="G132" s="2" t="s">
        <v>1158</v>
      </c>
      <c r="H132" s="2" t="s">
        <v>67</v>
      </c>
      <c r="I132" s="2" t="s">
        <v>67</v>
      </c>
      <c r="J132" s="2" t="s">
        <v>74</v>
      </c>
      <c r="K132" s="2" t="s">
        <v>71</v>
      </c>
      <c r="L132" s="2" t="s">
        <v>67</v>
      </c>
      <c r="M132" s="2" t="s">
        <v>67</v>
      </c>
      <c r="N132" s="2" t="s">
        <v>67</v>
      </c>
      <c r="O132" s="2" t="s">
        <v>242</v>
      </c>
      <c r="P132" s="2" t="s">
        <v>141</v>
      </c>
      <c r="Q132" s="2" t="s">
        <v>73</v>
      </c>
      <c r="R132" t="str">
        <f>IF(OR(I132="Yes", K132 = "Yes"), "Yes", "No")</f>
        <v>No</v>
      </c>
    </row>
    <row r="133" spans="2:18" ht="48" hidden="1" x14ac:dyDescent="0.2">
      <c r="B133" s="2" t="s">
        <v>593</v>
      </c>
      <c r="C133" s="2" t="s">
        <v>594</v>
      </c>
      <c r="D133" s="2" t="s">
        <v>595</v>
      </c>
      <c r="E133" s="2" t="s">
        <v>218</v>
      </c>
      <c r="F133" s="2" t="s">
        <v>1167</v>
      </c>
      <c r="G133" s="2" t="s">
        <v>598</v>
      </c>
      <c r="H133" s="2" t="s">
        <v>67</v>
      </c>
      <c r="I133" s="2" t="s">
        <v>67</v>
      </c>
      <c r="J133" s="2" t="s">
        <v>67</v>
      </c>
      <c r="K133" s="2" t="s">
        <v>67</v>
      </c>
      <c r="L133" s="2" t="s">
        <v>67</v>
      </c>
      <c r="M133" s="2" t="s">
        <v>67</v>
      </c>
      <c r="N133" s="2" t="s">
        <v>67</v>
      </c>
      <c r="O133" s="2" t="s">
        <v>305</v>
      </c>
      <c r="P133" s="2" t="s">
        <v>141</v>
      </c>
      <c r="Q133" s="2" t="s">
        <v>73</v>
      </c>
      <c r="R133" t="str">
        <f>IF(OR(I133="Yes", K133 = "Yes"), "Yes", "No")</f>
        <v>No</v>
      </c>
    </row>
    <row r="134" spans="2:18" ht="48" hidden="1" x14ac:dyDescent="0.2">
      <c r="B134" s="2" t="s">
        <v>1170</v>
      </c>
      <c r="C134" s="2" t="s">
        <v>1171</v>
      </c>
      <c r="D134" s="2" t="s">
        <v>1172</v>
      </c>
      <c r="E134" s="2" t="s">
        <v>125</v>
      </c>
      <c r="F134" s="2" t="s">
        <v>1173</v>
      </c>
      <c r="G134" s="2" t="s">
        <v>1174</v>
      </c>
      <c r="H134" s="2" t="s">
        <v>67</v>
      </c>
      <c r="I134" s="2" t="s">
        <v>67</v>
      </c>
      <c r="J134" s="2" t="s">
        <v>67</v>
      </c>
      <c r="K134" s="2" t="s">
        <v>67</v>
      </c>
      <c r="L134" s="2" t="s">
        <v>67</v>
      </c>
      <c r="M134" s="2" t="s">
        <v>67</v>
      </c>
      <c r="N134" s="2" t="s">
        <v>67</v>
      </c>
      <c r="O134" s="2" t="s">
        <v>346</v>
      </c>
      <c r="P134" s="2" t="s">
        <v>141</v>
      </c>
      <c r="Q134" s="2" t="s">
        <v>73</v>
      </c>
      <c r="R134" t="str">
        <f>IF(OR(I134="Yes", K134 = "Yes"), "Yes", "No")</f>
        <v>No</v>
      </c>
    </row>
    <row r="135" spans="2:18" ht="32" hidden="1" x14ac:dyDescent="0.2">
      <c r="B135" s="2" t="s">
        <v>1177</v>
      </c>
      <c r="C135" s="2" t="s">
        <v>1177</v>
      </c>
      <c r="D135" s="2" t="s">
        <v>1178</v>
      </c>
      <c r="E135" s="2" t="s">
        <v>67</v>
      </c>
      <c r="F135" s="2" t="s">
        <v>1177</v>
      </c>
      <c r="G135" s="2" t="s">
        <v>633</v>
      </c>
      <c r="H135" s="2" t="s">
        <v>67</v>
      </c>
      <c r="I135" s="2" t="s">
        <v>67</v>
      </c>
      <c r="J135" s="2" t="s">
        <v>67</v>
      </c>
      <c r="K135" s="2" t="s">
        <v>67</v>
      </c>
      <c r="L135" s="2" t="s">
        <v>67</v>
      </c>
      <c r="M135" s="2" t="s">
        <v>67</v>
      </c>
      <c r="N135" s="2" t="s">
        <v>67</v>
      </c>
      <c r="O135" s="2" t="s">
        <v>79</v>
      </c>
      <c r="P135" s="2" t="s">
        <v>141</v>
      </c>
      <c r="Q135" s="2" t="s">
        <v>73</v>
      </c>
      <c r="R135" t="str">
        <f>IF(OR(I135="Yes", K135 = "Yes"), "Yes", "No")</f>
        <v>No</v>
      </c>
    </row>
    <row r="136" spans="2:18" ht="48" hidden="1" x14ac:dyDescent="0.2">
      <c r="B136" s="2" t="s">
        <v>1181</v>
      </c>
      <c r="C136" s="2" t="s">
        <v>216</v>
      </c>
      <c r="D136" s="2" t="s">
        <v>1182</v>
      </c>
      <c r="E136" s="2" t="s">
        <v>1070</v>
      </c>
      <c r="F136" s="2" t="s">
        <v>1183</v>
      </c>
      <c r="G136" s="2" t="s">
        <v>1184</v>
      </c>
      <c r="H136" s="2" t="s">
        <v>67</v>
      </c>
      <c r="I136" s="2" t="s">
        <v>67</v>
      </c>
      <c r="J136" s="2" t="s">
        <v>74</v>
      </c>
      <c r="K136" s="2" t="s">
        <v>71</v>
      </c>
      <c r="L136" s="2" t="s">
        <v>67</v>
      </c>
      <c r="M136" s="2" t="s">
        <v>67</v>
      </c>
      <c r="N136" s="2" t="s">
        <v>67</v>
      </c>
      <c r="O136" s="2" t="s">
        <v>79</v>
      </c>
      <c r="P136" s="2" t="s">
        <v>141</v>
      </c>
      <c r="Q136" s="2" t="s">
        <v>73</v>
      </c>
      <c r="R136" t="str">
        <f>IF(OR(I136="Yes", K136 = "Yes"), "Yes", "No")</f>
        <v>No</v>
      </c>
    </row>
    <row r="137" spans="2:18" ht="48" hidden="1" x14ac:dyDescent="0.2">
      <c r="B137" s="2" t="s">
        <v>1189</v>
      </c>
      <c r="C137" s="2" t="s">
        <v>1190</v>
      </c>
      <c r="D137" s="2" t="s">
        <v>1191</v>
      </c>
      <c r="E137" s="2" t="s">
        <v>90</v>
      </c>
      <c r="F137" s="2" t="s">
        <v>126</v>
      </c>
      <c r="G137" s="2" t="s">
        <v>611</v>
      </c>
      <c r="H137" s="2" t="s">
        <v>67</v>
      </c>
      <c r="I137" s="2" t="s">
        <v>67</v>
      </c>
      <c r="J137" s="2" t="s">
        <v>67</v>
      </c>
      <c r="K137" s="2" t="s">
        <v>67</v>
      </c>
      <c r="L137" s="2" t="s">
        <v>67</v>
      </c>
      <c r="M137" s="2" t="s">
        <v>67</v>
      </c>
      <c r="N137" s="2" t="s">
        <v>67</v>
      </c>
      <c r="O137" s="2" t="s">
        <v>796</v>
      </c>
      <c r="P137" s="2" t="s">
        <v>141</v>
      </c>
      <c r="Q137" s="2" t="s">
        <v>73</v>
      </c>
      <c r="R137" t="str">
        <f>IF(OR(I137="Yes", K137 = "Yes"), "Yes", "No")</f>
        <v>No</v>
      </c>
    </row>
    <row r="138" spans="2:18" ht="32" hidden="1" x14ac:dyDescent="0.2">
      <c r="B138" s="2" t="s">
        <v>1194</v>
      </c>
      <c r="C138" s="2" t="s">
        <v>1195</v>
      </c>
      <c r="D138" s="2" t="s">
        <v>1196</v>
      </c>
      <c r="E138" s="2" t="s">
        <v>556</v>
      </c>
      <c r="F138" s="2" t="s">
        <v>667</v>
      </c>
      <c r="G138" s="2" t="s">
        <v>256</v>
      </c>
      <c r="H138" s="2" t="s">
        <v>67</v>
      </c>
      <c r="I138" s="2" t="s">
        <v>67</v>
      </c>
      <c r="J138" s="2" t="s">
        <v>67</v>
      </c>
      <c r="K138" s="2" t="s">
        <v>67</v>
      </c>
      <c r="L138" s="2" t="s">
        <v>67</v>
      </c>
      <c r="M138" s="2" t="s">
        <v>67</v>
      </c>
      <c r="N138" s="2" t="s">
        <v>67</v>
      </c>
      <c r="O138" s="2" t="s">
        <v>1197</v>
      </c>
      <c r="P138" s="2" t="s">
        <v>141</v>
      </c>
      <c r="Q138" s="2" t="s">
        <v>73</v>
      </c>
      <c r="R138" t="str">
        <f>IF(OR(I138="Yes", K138 = "Yes"), "Yes", "No")</f>
        <v>No</v>
      </c>
    </row>
    <row r="139" spans="2:18" ht="32" x14ac:dyDescent="0.2">
      <c r="B139" s="2" t="s">
        <v>87</v>
      </c>
      <c r="C139" s="2" t="s">
        <v>88</v>
      </c>
      <c r="D139" s="2" t="s">
        <v>89</v>
      </c>
      <c r="E139" s="2" t="s">
        <v>90</v>
      </c>
      <c r="F139" s="2" t="s">
        <v>91</v>
      </c>
      <c r="G139" s="2" t="s">
        <v>92</v>
      </c>
      <c r="H139" s="2" t="s">
        <v>70</v>
      </c>
      <c r="I139" s="2" t="s">
        <v>74</v>
      </c>
      <c r="J139" s="2" t="s">
        <v>67</v>
      </c>
      <c r="K139" s="2" t="s">
        <v>67</v>
      </c>
      <c r="L139" s="2" t="s">
        <v>96</v>
      </c>
      <c r="M139" s="2" t="s">
        <v>97</v>
      </c>
      <c r="N139" s="2" t="s">
        <v>67</v>
      </c>
      <c r="O139" s="2" t="s">
        <v>98</v>
      </c>
      <c r="P139" s="2" t="s">
        <v>84</v>
      </c>
      <c r="Q139" s="2" t="s">
        <v>73</v>
      </c>
      <c r="R139" t="str">
        <f>IF(OR(I139="Yes", K139 = "Yes"), "Yes", "No")</f>
        <v>Yes</v>
      </c>
    </row>
    <row r="140" spans="2:18" ht="48" x14ac:dyDescent="0.2">
      <c r="B140" s="2" t="s">
        <v>778</v>
      </c>
      <c r="C140" s="2" t="s">
        <v>779</v>
      </c>
      <c r="D140" s="2" t="s">
        <v>780</v>
      </c>
      <c r="E140" s="2" t="s">
        <v>67</v>
      </c>
      <c r="F140" s="2" t="s">
        <v>781</v>
      </c>
      <c r="G140" s="2" t="s">
        <v>782</v>
      </c>
      <c r="H140" s="2" t="s">
        <v>67</v>
      </c>
      <c r="I140" s="2" t="s">
        <v>67</v>
      </c>
      <c r="J140" s="2" t="s">
        <v>74</v>
      </c>
      <c r="K140" s="2" t="s">
        <v>74</v>
      </c>
      <c r="L140" s="2" t="s">
        <v>786</v>
      </c>
      <c r="M140" s="2" t="s">
        <v>787</v>
      </c>
      <c r="N140" s="2" t="s">
        <v>67</v>
      </c>
      <c r="O140" s="2" t="s">
        <v>79</v>
      </c>
      <c r="P140" s="2" t="s">
        <v>141</v>
      </c>
      <c r="Q140" s="2" t="s">
        <v>73</v>
      </c>
      <c r="R140" t="str">
        <f>IF(OR(I140="Yes", K140 = "Yes"), "Yes", "No")</f>
        <v>Yes</v>
      </c>
    </row>
    <row r="141" spans="2:18" ht="48" hidden="1" x14ac:dyDescent="0.2">
      <c r="B141" s="2" t="s">
        <v>1204</v>
      </c>
      <c r="C141" s="2" t="s">
        <v>877</v>
      </c>
      <c r="D141" s="2" t="s">
        <v>878</v>
      </c>
      <c r="E141" s="2" t="s">
        <v>160</v>
      </c>
      <c r="F141" s="2" t="s">
        <v>879</v>
      </c>
      <c r="G141" s="2" t="s">
        <v>676</v>
      </c>
      <c r="H141" s="2" t="s">
        <v>67</v>
      </c>
      <c r="I141" s="2" t="s">
        <v>67</v>
      </c>
      <c r="J141" s="2" t="s">
        <v>74</v>
      </c>
      <c r="K141" s="2" t="s">
        <v>71</v>
      </c>
      <c r="L141" s="2" t="s">
        <v>67</v>
      </c>
      <c r="M141" s="2" t="s">
        <v>67</v>
      </c>
      <c r="N141" s="2" t="s">
        <v>67</v>
      </c>
      <c r="O141" s="2" t="s">
        <v>184</v>
      </c>
      <c r="P141" s="2" t="s">
        <v>141</v>
      </c>
      <c r="Q141" s="2" t="s">
        <v>73</v>
      </c>
      <c r="R141" t="str">
        <f>IF(OR(I141="Yes", K141 = "Yes"), "Yes", "No")</f>
        <v>No</v>
      </c>
    </row>
    <row r="142" spans="2:18" ht="32" hidden="1" x14ac:dyDescent="0.2">
      <c r="B142" s="2" t="s">
        <v>1207</v>
      </c>
      <c r="C142" s="2" t="s">
        <v>1208</v>
      </c>
      <c r="D142" s="2" t="s">
        <v>1209</v>
      </c>
      <c r="E142" s="2" t="s">
        <v>90</v>
      </c>
      <c r="F142" s="2" t="s">
        <v>1210</v>
      </c>
      <c r="G142" s="2" t="s">
        <v>1211</v>
      </c>
      <c r="H142" s="2" t="s">
        <v>67</v>
      </c>
      <c r="I142" s="2" t="s">
        <v>67</v>
      </c>
      <c r="J142" s="2" t="s">
        <v>74</v>
      </c>
      <c r="K142" s="2" t="s">
        <v>71</v>
      </c>
      <c r="L142" s="2" t="s">
        <v>67</v>
      </c>
      <c r="M142" s="2" t="s">
        <v>67</v>
      </c>
      <c r="N142" s="2" t="s">
        <v>67</v>
      </c>
      <c r="O142" s="2" t="s">
        <v>184</v>
      </c>
      <c r="P142" s="2" t="s">
        <v>141</v>
      </c>
      <c r="Q142" s="2" t="s">
        <v>73</v>
      </c>
      <c r="R142" t="str">
        <f t="shared" ref="R142:R147" si="0">IF(OR(I142="Yes", K142 = "Yes"), "Yes", "No")</f>
        <v>No</v>
      </c>
    </row>
    <row r="143" spans="2:18" ht="48" hidden="1" x14ac:dyDescent="0.2">
      <c r="B143" s="2" t="s">
        <v>340</v>
      </c>
      <c r="C143" s="2" t="s">
        <v>341</v>
      </c>
      <c r="D143" s="2" t="s">
        <v>342</v>
      </c>
      <c r="E143" s="2" t="s">
        <v>596</v>
      </c>
      <c r="F143" s="2" t="s">
        <v>126</v>
      </c>
      <c r="G143" s="2" t="s">
        <v>356</v>
      </c>
      <c r="H143" s="2" t="s">
        <v>67</v>
      </c>
      <c r="I143" s="2" t="s">
        <v>67</v>
      </c>
      <c r="J143" s="2" t="s">
        <v>74</v>
      </c>
      <c r="K143" s="2" t="s">
        <v>71</v>
      </c>
      <c r="L143" s="2" t="s">
        <v>67</v>
      </c>
      <c r="M143" s="2" t="s">
        <v>67</v>
      </c>
      <c r="N143" s="2" t="s">
        <v>67</v>
      </c>
      <c r="O143" s="2" t="s">
        <v>242</v>
      </c>
      <c r="P143" s="2" t="s">
        <v>141</v>
      </c>
      <c r="Q143" s="2" t="s">
        <v>73</v>
      </c>
      <c r="R143" t="str">
        <f t="shared" si="0"/>
        <v>No</v>
      </c>
    </row>
    <row r="144" spans="2:18" ht="32" hidden="1" x14ac:dyDescent="0.2">
      <c r="B144" s="2" t="s">
        <v>902</v>
      </c>
      <c r="C144" s="2" t="s">
        <v>1110</v>
      </c>
      <c r="D144" s="2" t="s">
        <v>1111</v>
      </c>
      <c r="E144" s="2" t="s">
        <v>1112</v>
      </c>
      <c r="F144" s="2" t="s">
        <v>1215</v>
      </c>
      <c r="G144" s="2" t="s">
        <v>1216</v>
      </c>
      <c r="H144" s="2" t="s">
        <v>67</v>
      </c>
      <c r="I144" s="2" t="s">
        <v>67</v>
      </c>
      <c r="J144" s="2" t="s">
        <v>74</v>
      </c>
      <c r="K144" s="2" t="s">
        <v>71</v>
      </c>
      <c r="L144" s="2" t="s">
        <v>67</v>
      </c>
      <c r="M144" s="2" t="s">
        <v>67</v>
      </c>
      <c r="N144" s="2" t="s">
        <v>67</v>
      </c>
      <c r="O144" s="2" t="s">
        <v>242</v>
      </c>
      <c r="P144" s="2" t="s">
        <v>141</v>
      </c>
      <c r="Q144" s="2" t="s">
        <v>73</v>
      </c>
      <c r="R144" t="str">
        <f t="shared" si="0"/>
        <v>No</v>
      </c>
    </row>
    <row r="145" spans="2:18" ht="48" hidden="1" x14ac:dyDescent="0.2">
      <c r="B145" s="2" t="s">
        <v>1219</v>
      </c>
      <c r="C145" s="2" t="s">
        <v>1220</v>
      </c>
      <c r="D145" s="2" t="s">
        <v>1221</v>
      </c>
      <c r="E145" s="2" t="s">
        <v>160</v>
      </c>
      <c r="F145" s="2" t="s">
        <v>82</v>
      </c>
      <c r="G145" s="2" t="s">
        <v>1222</v>
      </c>
      <c r="H145" s="2" t="s">
        <v>67</v>
      </c>
      <c r="I145" s="2" t="s">
        <v>67</v>
      </c>
      <c r="J145" s="2" t="s">
        <v>74</v>
      </c>
      <c r="K145" s="2" t="s">
        <v>71</v>
      </c>
      <c r="L145" s="2" t="s">
        <v>67</v>
      </c>
      <c r="M145" s="2" t="s">
        <v>67</v>
      </c>
      <c r="N145" s="2" t="s">
        <v>67</v>
      </c>
      <c r="O145" s="2" t="s">
        <v>796</v>
      </c>
      <c r="P145" s="2" t="s">
        <v>141</v>
      </c>
      <c r="Q145" s="2" t="s">
        <v>73</v>
      </c>
      <c r="R145" t="str">
        <f t="shared" si="0"/>
        <v>No</v>
      </c>
    </row>
    <row r="146" spans="2:18" ht="48" hidden="1" x14ac:dyDescent="0.2">
      <c r="B146" s="2" t="s">
        <v>627</v>
      </c>
      <c r="C146" s="2" t="s">
        <v>1225</v>
      </c>
      <c r="D146" s="2" t="s">
        <v>1226</v>
      </c>
      <c r="E146" s="2" t="s">
        <v>67</v>
      </c>
      <c r="F146" s="2" t="s">
        <v>1227</v>
      </c>
      <c r="G146" s="2" t="s">
        <v>1228</v>
      </c>
      <c r="H146" s="2" t="s">
        <v>67</v>
      </c>
      <c r="I146" s="2" t="s">
        <v>67</v>
      </c>
      <c r="J146" s="2" t="s">
        <v>67</v>
      </c>
      <c r="K146" s="2" t="s">
        <v>67</v>
      </c>
      <c r="L146" s="2" t="s">
        <v>67</v>
      </c>
      <c r="M146" s="2" t="s">
        <v>67</v>
      </c>
      <c r="N146" s="2" t="s">
        <v>67</v>
      </c>
      <c r="O146" s="2" t="s">
        <v>142</v>
      </c>
      <c r="P146" s="2" t="s">
        <v>1229</v>
      </c>
      <c r="Q146" s="2" t="s">
        <v>73</v>
      </c>
      <c r="R146" t="str">
        <f t="shared" si="0"/>
        <v>No</v>
      </c>
    </row>
    <row r="147" spans="2:18" hidden="1" x14ac:dyDescent="0.2">
      <c r="R147" t="str">
        <f t="shared" si="0"/>
        <v>No</v>
      </c>
    </row>
    <row r="148" spans="2:18" hidden="1" x14ac:dyDescent="0.2"/>
    <row r="149" spans="2:18" hidden="1" x14ac:dyDescent="0.2"/>
    <row r="150" spans="2:18" hidden="1" x14ac:dyDescent="0.2"/>
    <row r="151" spans="2:18" hidden="1" x14ac:dyDescent="0.2"/>
    <row r="152" spans="2:18" hidden="1" x14ac:dyDescent="0.2"/>
    <row r="153" spans="2:18" hidden="1" x14ac:dyDescent="0.2"/>
    <row r="154" spans="2:18" hidden="1" x14ac:dyDescent="0.2"/>
    <row r="155" spans="2:18" hidden="1" x14ac:dyDescent="0.2"/>
    <row r="156" spans="2:18" hidden="1" x14ac:dyDescent="0.2"/>
    <row r="157" spans="2:18" hidden="1" x14ac:dyDescent="0.2"/>
    <row r="158" spans="2:18" hidden="1" x14ac:dyDescent="0.2"/>
    <row r="159" spans="2:18" hidden="1" x14ac:dyDescent="0.2"/>
    <row r="160" spans="2:18" hidden="1" x14ac:dyDescent="0.2"/>
    <row r="161" hidden="1" x14ac:dyDescent="0.2"/>
    <row r="162" hidden="1" x14ac:dyDescent="0.2"/>
    <row r="163" hidden="1" x14ac:dyDescent="0.2"/>
    <row r="164" hidden="1" x14ac:dyDescent="0.2"/>
  </sheetData>
  <autoFilter ref="B1:R164" xr:uid="{00000000-0001-0000-0000-000000000000}">
    <filterColumn colId="16">
      <filters>
        <filter val="Yes"/>
      </filters>
    </filterColumn>
    <sortState xmlns:xlrd2="http://schemas.microsoft.com/office/spreadsheetml/2017/richdata2" ref="B2:R141">
      <sortCondition ref="B1:B164"/>
    </sortState>
  </autoFilter>
  <pageMargins left="0.7" right="0.7" top="0.75" bottom="0.75" header="0.3" footer="0.3"/>
  <ignoredErrors>
    <ignoredError sqref="B1 C1 D1 E1 F1 G1 H1 I1 J1 K1 L1 M1 N1 O1 P1 Q1 B142:B146 C142:C146 D142:D146 E142:E146 F142:F146 G142:G146 H142:H146 I142:I146 J142:J146 K142:K146 L142:L146 M142:M146 N142:N146 O142:O146 P142:P146 Q142:Q146"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D317D-0AC7-734D-8846-91E15C169180}">
  <dimension ref="A1:AM150"/>
  <sheetViews>
    <sheetView topLeftCell="A23" workbookViewId="0">
      <selection activeCell="S5" sqref="S5"/>
    </sheetView>
  </sheetViews>
  <sheetFormatPr baseColWidth="10" defaultColWidth="8.83203125" defaultRowHeight="15" x14ac:dyDescent="0.2"/>
  <sheetData>
    <row r="1" spans="1:39"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row>
    <row r="2" spans="1:39" x14ac:dyDescent="0.2">
      <c r="A2" s="3" t="s">
        <v>39</v>
      </c>
      <c r="B2" s="3" t="s">
        <v>40</v>
      </c>
      <c r="C2" s="3" t="s">
        <v>41</v>
      </c>
      <c r="D2" s="3" t="s">
        <v>42</v>
      </c>
      <c r="E2" s="3" t="s">
        <v>4</v>
      </c>
      <c r="F2" s="3" t="s">
        <v>5</v>
      </c>
      <c r="G2" s="3" t="s">
        <v>6</v>
      </c>
      <c r="H2" s="3" t="s">
        <v>43</v>
      </c>
      <c r="I2" s="3" t="s">
        <v>44</v>
      </c>
      <c r="J2" s="3" t="s">
        <v>45</v>
      </c>
      <c r="K2" s="3" t="s">
        <v>46</v>
      </c>
      <c r="L2" s="3" t="s">
        <v>47</v>
      </c>
      <c r="M2" s="3" t="s">
        <v>48</v>
      </c>
      <c r="N2" s="3" t="s">
        <v>49</v>
      </c>
      <c r="O2" s="3" t="s">
        <v>50</v>
      </c>
      <c r="P2" s="3" t="s">
        <v>51</v>
      </c>
      <c r="Q2" s="3" t="s">
        <v>52</v>
      </c>
      <c r="R2" s="3" t="s">
        <v>53</v>
      </c>
      <c r="S2" s="3" t="s">
        <v>54</v>
      </c>
      <c r="T2" s="3" t="s">
        <v>55</v>
      </c>
      <c r="U2" s="3" t="s">
        <v>56</v>
      </c>
      <c r="V2" s="3" t="s">
        <v>57</v>
      </c>
      <c r="W2" s="3" t="s">
        <v>58</v>
      </c>
      <c r="X2" s="3" t="s">
        <v>59</v>
      </c>
      <c r="Y2" s="3" t="s">
        <v>60</v>
      </c>
      <c r="Z2" s="3" t="s">
        <v>61</v>
      </c>
      <c r="AA2" s="3" t="s">
        <v>60</v>
      </c>
      <c r="AB2" s="3" t="s">
        <v>62</v>
      </c>
      <c r="AC2" s="3" t="s">
        <v>63</v>
      </c>
      <c r="AD2" s="3" t="s">
        <v>64</v>
      </c>
      <c r="AE2" s="3" t="s">
        <v>63</v>
      </c>
      <c r="AF2" s="3" t="s">
        <v>62</v>
      </c>
      <c r="AG2" s="3" t="s">
        <v>64</v>
      </c>
      <c r="AH2" s="3" t="s">
        <v>65</v>
      </c>
      <c r="AI2" s="3" t="s">
        <v>66</v>
      </c>
      <c r="AJ2" s="3" t="s">
        <v>35</v>
      </c>
      <c r="AK2" s="3" t="s">
        <v>36</v>
      </c>
      <c r="AL2" s="3" t="s">
        <v>37</v>
      </c>
      <c r="AM2" s="3" t="s">
        <v>38</v>
      </c>
    </row>
    <row r="3" spans="1:39" ht="409.6" x14ac:dyDescent="0.2">
      <c r="A3" s="1">
        <v>45824.450092592589</v>
      </c>
      <c r="B3" s="1">
        <v>45824.682291666664</v>
      </c>
      <c r="C3" s="2" t="s">
        <v>42</v>
      </c>
      <c r="D3" s="2" t="s">
        <v>85</v>
      </c>
      <c r="E3">
        <v>100</v>
      </c>
      <c r="F3">
        <v>20061</v>
      </c>
      <c r="G3" s="2" t="s">
        <v>68</v>
      </c>
      <c r="H3" s="1">
        <v>45824.682301006942</v>
      </c>
      <c r="I3" s="2" t="s">
        <v>86</v>
      </c>
      <c r="J3" s="2" t="s">
        <v>67</v>
      </c>
      <c r="K3" s="2" t="s">
        <v>67</v>
      </c>
      <c r="L3" s="2" t="s">
        <v>67</v>
      </c>
      <c r="M3" s="2" t="s">
        <v>67</v>
      </c>
      <c r="N3">
        <v>43.072499999999998</v>
      </c>
      <c r="O3">
        <v>-89.449100000000001</v>
      </c>
      <c r="P3" s="2" t="s">
        <v>78</v>
      </c>
      <c r="Q3" s="2" t="s">
        <v>69</v>
      </c>
      <c r="R3" s="2" t="s">
        <v>87</v>
      </c>
      <c r="S3" s="2" t="s">
        <v>88</v>
      </c>
      <c r="T3" s="2" t="s">
        <v>89</v>
      </c>
      <c r="U3" s="2" t="s">
        <v>90</v>
      </c>
      <c r="V3" s="2" t="s">
        <v>91</v>
      </c>
      <c r="W3" s="2" t="s">
        <v>92</v>
      </c>
      <c r="X3" s="2" t="s">
        <v>70</v>
      </c>
      <c r="Y3" s="2" t="s">
        <v>74</v>
      </c>
      <c r="Z3" s="2" t="s">
        <v>67</v>
      </c>
      <c r="AA3" s="2" t="s">
        <v>67</v>
      </c>
      <c r="AB3" s="2" t="s">
        <v>93</v>
      </c>
      <c r="AC3" s="2" t="s">
        <v>94</v>
      </c>
      <c r="AD3" s="2" t="s">
        <v>95</v>
      </c>
      <c r="AE3" s="2" t="s">
        <v>67</v>
      </c>
      <c r="AF3" s="2" t="s">
        <v>67</v>
      </c>
      <c r="AG3" s="2" t="s">
        <v>67</v>
      </c>
      <c r="AH3" s="2" t="s">
        <v>96</v>
      </c>
      <c r="AI3" s="2" t="s">
        <v>97</v>
      </c>
      <c r="AJ3" s="2" t="s">
        <v>67</v>
      </c>
      <c r="AK3" s="2" t="s">
        <v>98</v>
      </c>
      <c r="AL3" s="2" t="s">
        <v>84</v>
      </c>
      <c r="AM3" s="2" t="s">
        <v>73</v>
      </c>
    </row>
    <row r="4" spans="1:39" ht="48" x14ac:dyDescent="0.2">
      <c r="A4" s="1">
        <v>45818.637974537036</v>
      </c>
      <c r="B4" s="1">
        <v>45818.639386574076</v>
      </c>
      <c r="C4" s="2" t="s">
        <v>42</v>
      </c>
      <c r="D4" s="2" t="s">
        <v>99</v>
      </c>
      <c r="E4">
        <v>54</v>
      </c>
      <c r="F4">
        <v>122</v>
      </c>
      <c r="G4" s="2" t="s">
        <v>80</v>
      </c>
      <c r="H4" s="1">
        <v>45825.639410972224</v>
      </c>
      <c r="I4" s="2" t="s">
        <v>100</v>
      </c>
      <c r="J4" s="2" t="s">
        <v>67</v>
      </c>
      <c r="K4" s="2" t="s">
        <v>67</v>
      </c>
      <c r="L4" s="2" t="s">
        <v>67</v>
      </c>
      <c r="M4" s="2" t="s">
        <v>67</v>
      </c>
      <c r="N4">
        <v>43.072499999999998</v>
      </c>
      <c r="O4">
        <v>-89.449100000000001</v>
      </c>
      <c r="P4" s="2" t="s">
        <v>78</v>
      </c>
      <c r="Q4" s="2" t="s">
        <v>69</v>
      </c>
      <c r="R4" s="2" t="s">
        <v>101</v>
      </c>
      <c r="S4" s="2" t="s">
        <v>102</v>
      </c>
      <c r="T4" s="2" t="s">
        <v>103</v>
      </c>
      <c r="U4" s="2" t="s">
        <v>90</v>
      </c>
      <c r="V4" s="2" t="s">
        <v>82</v>
      </c>
      <c r="W4" s="2" t="s">
        <v>104</v>
      </c>
      <c r="X4" s="2" t="s">
        <v>70</v>
      </c>
      <c r="Y4" s="2" t="s">
        <v>71</v>
      </c>
      <c r="Z4" s="2" t="s">
        <v>67</v>
      </c>
      <c r="AA4" s="2" t="s">
        <v>67</v>
      </c>
      <c r="AB4" s="2" t="s">
        <v>67</v>
      </c>
      <c r="AC4" s="2" t="s">
        <v>67</v>
      </c>
      <c r="AD4" s="2" t="s">
        <v>67</v>
      </c>
      <c r="AE4" s="2" t="s">
        <v>67</v>
      </c>
      <c r="AF4" s="2" t="s">
        <v>67</v>
      </c>
      <c r="AG4" s="2" t="s">
        <v>67</v>
      </c>
      <c r="AH4" s="2" t="s">
        <v>67</v>
      </c>
      <c r="AI4" s="2" t="s">
        <v>67</v>
      </c>
      <c r="AJ4" s="2" t="s">
        <v>67</v>
      </c>
      <c r="AK4" s="2" t="s">
        <v>105</v>
      </c>
      <c r="AL4" s="2" t="s">
        <v>84</v>
      </c>
      <c r="AM4" s="2" t="s">
        <v>73</v>
      </c>
    </row>
    <row r="5" spans="1:39" ht="64" x14ac:dyDescent="0.2">
      <c r="A5" s="1">
        <v>45819.540462962963</v>
      </c>
      <c r="B5" s="1">
        <v>45819.553159722222</v>
      </c>
      <c r="C5" s="2" t="s">
        <v>42</v>
      </c>
      <c r="D5" s="2" t="s">
        <v>106</v>
      </c>
      <c r="E5">
        <v>29</v>
      </c>
      <c r="F5">
        <v>1096</v>
      </c>
      <c r="G5" s="2" t="s">
        <v>80</v>
      </c>
      <c r="H5" s="1">
        <v>45826.553185717596</v>
      </c>
      <c r="I5" s="2" t="s">
        <v>107</v>
      </c>
      <c r="J5" s="2" t="s">
        <v>67</v>
      </c>
      <c r="K5" s="2" t="s">
        <v>67</v>
      </c>
      <c r="L5" s="2" t="s">
        <v>67</v>
      </c>
      <c r="M5" s="2" t="s">
        <v>67</v>
      </c>
      <c r="N5">
        <v>43.072499999999998</v>
      </c>
      <c r="O5">
        <v>-89.449100000000001</v>
      </c>
      <c r="P5" s="2" t="s">
        <v>78</v>
      </c>
      <c r="Q5" s="2" t="s">
        <v>69</v>
      </c>
      <c r="R5" s="2" t="s">
        <v>108</v>
      </c>
      <c r="S5" s="2" t="s">
        <v>109</v>
      </c>
      <c r="T5" s="2" t="s">
        <v>110</v>
      </c>
      <c r="U5" s="2" t="s">
        <v>67</v>
      </c>
      <c r="V5" s="2" t="s">
        <v>82</v>
      </c>
      <c r="W5" s="2" t="s">
        <v>111</v>
      </c>
      <c r="X5" s="2" t="s">
        <v>67</v>
      </c>
      <c r="Y5" s="2" t="s">
        <v>67</v>
      </c>
      <c r="Z5" s="2" t="s">
        <v>67</v>
      </c>
      <c r="AA5" s="2" t="s">
        <v>67</v>
      </c>
      <c r="AB5" s="2" t="s">
        <v>67</v>
      </c>
      <c r="AC5" s="2" t="s">
        <v>67</v>
      </c>
      <c r="AD5" s="2" t="s">
        <v>67</v>
      </c>
      <c r="AE5" s="2" t="s">
        <v>67</v>
      </c>
      <c r="AF5" s="2" t="s">
        <v>67</v>
      </c>
      <c r="AG5" s="2" t="s">
        <v>67</v>
      </c>
      <c r="AH5" s="2" t="s">
        <v>67</v>
      </c>
      <c r="AI5" s="2" t="s">
        <v>67</v>
      </c>
      <c r="AJ5" s="2" t="s">
        <v>67</v>
      </c>
      <c r="AK5" s="2" t="s">
        <v>83</v>
      </c>
      <c r="AL5" s="2" t="s">
        <v>84</v>
      </c>
      <c r="AM5" s="2" t="s">
        <v>73</v>
      </c>
    </row>
    <row r="6" spans="1:39" ht="64" x14ac:dyDescent="0.2">
      <c r="A6" s="1">
        <v>45819.380370370367</v>
      </c>
      <c r="B6" s="1">
        <v>45819.570636574077</v>
      </c>
      <c r="C6" s="2" t="s">
        <v>42</v>
      </c>
      <c r="D6" s="2" t="s">
        <v>112</v>
      </c>
      <c r="E6">
        <v>54</v>
      </c>
      <c r="F6">
        <v>16439</v>
      </c>
      <c r="G6" s="2" t="s">
        <v>80</v>
      </c>
      <c r="H6" s="1">
        <v>45826.570664131941</v>
      </c>
      <c r="I6" s="2" t="s">
        <v>113</v>
      </c>
      <c r="J6" s="2" t="s">
        <v>67</v>
      </c>
      <c r="K6" s="2" t="s">
        <v>67</v>
      </c>
      <c r="L6" s="2" t="s">
        <v>67</v>
      </c>
      <c r="M6" s="2" t="s">
        <v>67</v>
      </c>
      <c r="N6">
        <v>43.072499999999998</v>
      </c>
      <c r="O6">
        <v>-89.449100000000001</v>
      </c>
      <c r="P6" s="2" t="s">
        <v>78</v>
      </c>
      <c r="Q6" s="2" t="s">
        <v>69</v>
      </c>
      <c r="R6" s="2" t="s">
        <v>114</v>
      </c>
      <c r="S6" s="2" t="s">
        <v>115</v>
      </c>
      <c r="T6" s="2" t="s">
        <v>116</v>
      </c>
      <c r="U6" s="2" t="s">
        <v>117</v>
      </c>
      <c r="V6" s="2" t="s">
        <v>118</v>
      </c>
      <c r="W6" s="2" t="s">
        <v>119</v>
      </c>
      <c r="X6" s="2" t="s">
        <v>70</v>
      </c>
      <c r="Y6" s="2" t="s">
        <v>71</v>
      </c>
      <c r="Z6" s="2" t="s">
        <v>67</v>
      </c>
      <c r="AA6" s="2" t="s">
        <v>67</v>
      </c>
      <c r="AB6" s="2" t="s">
        <v>67</v>
      </c>
      <c r="AC6" s="2" t="s">
        <v>67</v>
      </c>
      <c r="AD6" s="2" t="s">
        <v>67</v>
      </c>
      <c r="AE6" s="2" t="s">
        <v>67</v>
      </c>
      <c r="AF6" s="2" t="s">
        <v>67</v>
      </c>
      <c r="AG6" s="2" t="s">
        <v>67</v>
      </c>
      <c r="AH6" s="2" t="s">
        <v>67</v>
      </c>
      <c r="AI6" s="2" t="s">
        <v>67</v>
      </c>
      <c r="AJ6" s="2" t="s">
        <v>67</v>
      </c>
      <c r="AK6" s="2" t="s">
        <v>83</v>
      </c>
      <c r="AL6" s="2" t="s">
        <v>84</v>
      </c>
      <c r="AM6" s="2" t="s">
        <v>73</v>
      </c>
    </row>
    <row r="7" spans="1:39" ht="409.6" x14ac:dyDescent="0.2">
      <c r="A7" s="1">
        <v>45838.440138888887</v>
      </c>
      <c r="B7" s="1">
        <v>45838.441793981481</v>
      </c>
      <c r="C7" s="2" t="s">
        <v>42</v>
      </c>
      <c r="D7" s="2" t="s">
        <v>120</v>
      </c>
      <c r="E7">
        <v>100</v>
      </c>
      <c r="F7">
        <v>142</v>
      </c>
      <c r="G7" s="2" t="s">
        <v>68</v>
      </c>
      <c r="H7" s="1">
        <v>45838.441807604169</v>
      </c>
      <c r="I7" s="2" t="s">
        <v>121</v>
      </c>
      <c r="J7" s="2" t="s">
        <v>67</v>
      </c>
      <c r="K7" s="2" t="s">
        <v>67</v>
      </c>
      <c r="L7" s="2" t="s">
        <v>67</v>
      </c>
      <c r="M7" s="2" t="s">
        <v>67</v>
      </c>
      <c r="N7">
        <v>43.064</v>
      </c>
      <c r="O7">
        <v>-89.396500000000003</v>
      </c>
      <c r="P7" s="2" t="s">
        <v>78</v>
      </c>
      <c r="Q7" s="2" t="s">
        <v>69</v>
      </c>
      <c r="R7" s="2" t="s">
        <v>122</v>
      </c>
      <c r="S7" s="2" t="s">
        <v>123</v>
      </c>
      <c r="T7" s="2" t="s">
        <v>124</v>
      </c>
      <c r="U7" s="2" t="s">
        <v>125</v>
      </c>
      <c r="V7" s="2" t="s">
        <v>126</v>
      </c>
      <c r="W7" s="2" t="s">
        <v>127</v>
      </c>
      <c r="X7" s="2" t="s">
        <v>70</v>
      </c>
      <c r="Y7" s="2" t="s">
        <v>71</v>
      </c>
      <c r="Z7" s="2" t="s">
        <v>67</v>
      </c>
      <c r="AA7" s="2" t="s">
        <v>67</v>
      </c>
      <c r="AB7" s="2" t="s">
        <v>128</v>
      </c>
      <c r="AC7" s="2" t="s">
        <v>129</v>
      </c>
      <c r="AD7" s="2" t="s">
        <v>130</v>
      </c>
      <c r="AE7" s="2" t="s">
        <v>67</v>
      </c>
      <c r="AF7" s="2" t="s">
        <v>67</v>
      </c>
      <c r="AG7" s="2" t="s">
        <v>67</v>
      </c>
      <c r="AH7" s="2" t="s">
        <v>67</v>
      </c>
      <c r="AI7" s="2" t="s">
        <v>67</v>
      </c>
      <c r="AJ7" s="2" t="s">
        <v>67</v>
      </c>
      <c r="AK7" s="2" t="s">
        <v>131</v>
      </c>
      <c r="AL7" s="2" t="s">
        <v>84</v>
      </c>
      <c r="AM7" s="2" t="s">
        <v>73</v>
      </c>
    </row>
    <row r="8" spans="1:39" ht="409.6" x14ac:dyDescent="0.2">
      <c r="A8" s="1">
        <v>45846.583136574074</v>
      </c>
      <c r="B8" s="1">
        <v>45846.587581018517</v>
      </c>
      <c r="C8" s="2" t="s">
        <v>42</v>
      </c>
      <c r="D8" s="2" t="s">
        <v>132</v>
      </c>
      <c r="E8">
        <v>100</v>
      </c>
      <c r="F8">
        <v>384</v>
      </c>
      <c r="G8" s="2" t="s">
        <v>68</v>
      </c>
      <c r="H8" s="1">
        <v>45846.587596192127</v>
      </c>
      <c r="I8" s="2" t="s">
        <v>133</v>
      </c>
      <c r="J8" s="2" t="s">
        <v>67</v>
      </c>
      <c r="K8" s="2" t="s">
        <v>67</v>
      </c>
      <c r="L8" s="2" t="s">
        <v>67</v>
      </c>
      <c r="M8" s="2" t="s">
        <v>67</v>
      </c>
      <c r="N8">
        <v>43.072499999999998</v>
      </c>
      <c r="O8">
        <v>-89.449100000000001</v>
      </c>
      <c r="P8" s="2" t="s">
        <v>78</v>
      </c>
      <c r="Q8" s="2" t="s">
        <v>69</v>
      </c>
      <c r="R8" s="2" t="s">
        <v>134</v>
      </c>
      <c r="S8" s="2" t="s">
        <v>135</v>
      </c>
      <c r="T8" s="2" t="s">
        <v>136</v>
      </c>
      <c r="U8" s="2" t="s">
        <v>67</v>
      </c>
      <c r="V8" s="2" t="s">
        <v>82</v>
      </c>
      <c r="W8" s="2" t="s">
        <v>137</v>
      </c>
      <c r="X8" s="2" t="s">
        <v>70</v>
      </c>
      <c r="Y8" s="2" t="s">
        <v>71</v>
      </c>
      <c r="Z8" s="2" t="s">
        <v>67</v>
      </c>
      <c r="AA8" s="2" t="s">
        <v>67</v>
      </c>
      <c r="AB8" s="2" t="s">
        <v>138</v>
      </c>
      <c r="AC8" s="2" t="s">
        <v>139</v>
      </c>
      <c r="AD8" s="2" t="s">
        <v>140</v>
      </c>
      <c r="AE8" s="2" t="s">
        <v>67</v>
      </c>
      <c r="AF8" s="2" t="s">
        <v>67</v>
      </c>
      <c r="AG8" s="2" t="s">
        <v>67</v>
      </c>
      <c r="AH8" s="2" t="s">
        <v>67</v>
      </c>
      <c r="AI8" s="2" t="s">
        <v>67</v>
      </c>
      <c r="AJ8" s="2" t="s">
        <v>67</v>
      </c>
      <c r="AK8" s="2" t="s">
        <v>141</v>
      </c>
      <c r="AL8" s="2" t="s">
        <v>142</v>
      </c>
      <c r="AM8" s="2" t="s">
        <v>73</v>
      </c>
    </row>
    <row r="9" spans="1:39" ht="409.6" x14ac:dyDescent="0.2">
      <c r="A9" s="1">
        <v>45846.844664351855</v>
      </c>
      <c r="B9" s="1">
        <v>45846.871863425928</v>
      </c>
      <c r="C9" s="2" t="s">
        <v>42</v>
      </c>
      <c r="D9" s="2" t="s">
        <v>143</v>
      </c>
      <c r="E9">
        <v>100</v>
      </c>
      <c r="F9">
        <v>2349</v>
      </c>
      <c r="G9" s="2" t="s">
        <v>68</v>
      </c>
      <c r="H9" s="1">
        <v>45846.871874375</v>
      </c>
      <c r="I9" s="2" t="s">
        <v>144</v>
      </c>
      <c r="J9" s="2" t="s">
        <v>67</v>
      </c>
      <c r="K9" s="2" t="s">
        <v>67</v>
      </c>
      <c r="L9" s="2" t="s">
        <v>67</v>
      </c>
      <c r="M9" s="2" t="s">
        <v>67</v>
      </c>
      <c r="N9">
        <v>39.680399999999999</v>
      </c>
      <c r="O9">
        <v>-86.130600000000001</v>
      </c>
      <c r="P9" s="2" t="s">
        <v>78</v>
      </c>
      <c r="Q9" s="2" t="s">
        <v>69</v>
      </c>
      <c r="R9" s="2" t="s">
        <v>145</v>
      </c>
      <c r="S9" s="2" t="s">
        <v>146</v>
      </c>
      <c r="T9" s="2" t="s">
        <v>147</v>
      </c>
      <c r="U9" s="2" t="s">
        <v>67</v>
      </c>
      <c r="V9" s="2" t="s">
        <v>148</v>
      </c>
      <c r="W9" s="2" t="s">
        <v>149</v>
      </c>
      <c r="X9" s="2" t="s">
        <v>70</v>
      </c>
      <c r="Y9" s="2" t="s">
        <v>74</v>
      </c>
      <c r="Z9" s="2" t="s">
        <v>67</v>
      </c>
      <c r="AA9" s="2" t="s">
        <v>67</v>
      </c>
      <c r="AB9" s="2" t="s">
        <v>150</v>
      </c>
      <c r="AC9" s="2" t="s">
        <v>151</v>
      </c>
      <c r="AD9" s="2" t="s">
        <v>152</v>
      </c>
      <c r="AE9" s="2" t="s">
        <v>67</v>
      </c>
      <c r="AF9" s="2" t="s">
        <v>67</v>
      </c>
      <c r="AG9" s="2" t="s">
        <v>67</v>
      </c>
      <c r="AH9" s="2" t="s">
        <v>153</v>
      </c>
      <c r="AI9" s="2" t="s">
        <v>154</v>
      </c>
      <c r="AJ9" s="2" t="s">
        <v>67</v>
      </c>
      <c r="AK9" s="2" t="s">
        <v>141</v>
      </c>
      <c r="AL9" s="2" t="s">
        <v>142</v>
      </c>
      <c r="AM9" s="2" t="s">
        <v>73</v>
      </c>
    </row>
    <row r="10" spans="1:39" ht="409.6" x14ac:dyDescent="0.2">
      <c r="A10" s="1">
        <v>45848.421527777777</v>
      </c>
      <c r="B10" s="1">
        <v>45848.441782407404</v>
      </c>
      <c r="C10" s="2" t="s">
        <v>42</v>
      </c>
      <c r="D10" s="2" t="s">
        <v>155</v>
      </c>
      <c r="E10">
        <v>100</v>
      </c>
      <c r="F10">
        <v>1749</v>
      </c>
      <c r="G10" s="2" t="s">
        <v>68</v>
      </c>
      <c r="H10" s="1">
        <v>45848.441787881944</v>
      </c>
      <c r="I10" s="2" t="s">
        <v>156</v>
      </c>
      <c r="J10" s="2" t="s">
        <v>67</v>
      </c>
      <c r="K10" s="2" t="s">
        <v>67</v>
      </c>
      <c r="L10" s="2" t="s">
        <v>67</v>
      </c>
      <c r="M10" s="2" t="s">
        <v>67</v>
      </c>
      <c r="N10">
        <v>43.081200000000003</v>
      </c>
      <c r="O10">
        <v>-89.383799999999994</v>
      </c>
      <c r="P10" s="2" t="s">
        <v>78</v>
      </c>
      <c r="Q10" s="2" t="s">
        <v>69</v>
      </c>
      <c r="R10" s="2" t="s">
        <v>157</v>
      </c>
      <c r="S10" s="2" t="s">
        <v>158</v>
      </c>
      <c r="T10" s="2" t="s">
        <v>159</v>
      </c>
      <c r="U10" s="2" t="s">
        <v>160</v>
      </c>
      <c r="V10" s="2" t="s">
        <v>161</v>
      </c>
      <c r="W10" s="2" t="s">
        <v>162</v>
      </c>
      <c r="X10" s="2" t="s">
        <v>70</v>
      </c>
      <c r="Y10" s="2" t="s">
        <v>71</v>
      </c>
      <c r="Z10" s="2" t="s">
        <v>67</v>
      </c>
      <c r="AA10" s="2" t="s">
        <v>67</v>
      </c>
      <c r="AB10" s="2" t="s">
        <v>163</v>
      </c>
      <c r="AC10" s="2" t="s">
        <v>164</v>
      </c>
      <c r="AD10" s="2" t="s">
        <v>165</v>
      </c>
      <c r="AE10" s="2" t="s">
        <v>67</v>
      </c>
      <c r="AF10" s="2" t="s">
        <v>67</v>
      </c>
      <c r="AG10" s="2" t="s">
        <v>67</v>
      </c>
      <c r="AH10" s="2" t="s">
        <v>67</v>
      </c>
      <c r="AI10" s="2" t="s">
        <v>67</v>
      </c>
      <c r="AJ10" s="2" t="s">
        <v>67</v>
      </c>
      <c r="AK10" s="2" t="s">
        <v>105</v>
      </c>
      <c r="AL10" s="2" t="s">
        <v>142</v>
      </c>
      <c r="AM10" s="2" t="s">
        <v>73</v>
      </c>
    </row>
    <row r="11" spans="1:39" ht="409.6" x14ac:dyDescent="0.2">
      <c r="A11" s="1">
        <v>45849.573379629626</v>
      </c>
      <c r="B11" s="1">
        <v>45849.57644675926</v>
      </c>
      <c r="C11" s="2" t="s">
        <v>42</v>
      </c>
      <c r="D11" s="2" t="s">
        <v>166</v>
      </c>
      <c r="E11">
        <v>100</v>
      </c>
      <c r="F11">
        <v>265</v>
      </c>
      <c r="G11" s="2" t="s">
        <v>68</v>
      </c>
      <c r="H11" s="1">
        <v>45849.57645753472</v>
      </c>
      <c r="I11" s="2" t="s">
        <v>167</v>
      </c>
      <c r="J11" s="2" t="s">
        <v>67</v>
      </c>
      <c r="K11" s="2" t="s">
        <v>67</v>
      </c>
      <c r="L11" s="2" t="s">
        <v>67</v>
      </c>
      <c r="M11" s="2" t="s">
        <v>67</v>
      </c>
      <c r="N11">
        <v>43.081200000000003</v>
      </c>
      <c r="O11">
        <v>-89.383799999999994</v>
      </c>
      <c r="P11" s="2" t="s">
        <v>78</v>
      </c>
      <c r="Q11" s="2" t="s">
        <v>69</v>
      </c>
      <c r="R11" s="2" t="s">
        <v>168</v>
      </c>
      <c r="S11" s="2" t="s">
        <v>169</v>
      </c>
      <c r="T11" s="2" t="s">
        <v>170</v>
      </c>
      <c r="U11" s="2" t="s">
        <v>160</v>
      </c>
      <c r="V11" s="2" t="s">
        <v>126</v>
      </c>
      <c r="W11" s="2" t="s">
        <v>171</v>
      </c>
      <c r="X11" s="2" t="s">
        <v>70</v>
      </c>
      <c r="Y11" s="2" t="s">
        <v>71</v>
      </c>
      <c r="Z11" s="2" t="s">
        <v>67</v>
      </c>
      <c r="AA11" s="2" t="s">
        <v>67</v>
      </c>
      <c r="AB11" s="2" t="s">
        <v>172</v>
      </c>
      <c r="AC11" s="2" t="s">
        <v>173</v>
      </c>
      <c r="AD11" s="2" t="s">
        <v>174</v>
      </c>
      <c r="AE11" s="2" t="s">
        <v>67</v>
      </c>
      <c r="AF11" s="2" t="s">
        <v>67</v>
      </c>
      <c r="AG11" s="2" t="s">
        <v>67</v>
      </c>
      <c r="AH11" s="2" t="s">
        <v>67</v>
      </c>
      <c r="AI11" s="2" t="s">
        <v>67</v>
      </c>
      <c r="AJ11" s="2" t="s">
        <v>67</v>
      </c>
      <c r="AK11" s="2" t="s">
        <v>83</v>
      </c>
      <c r="AL11" s="2" t="s">
        <v>142</v>
      </c>
      <c r="AM11" s="2" t="s">
        <v>73</v>
      </c>
    </row>
    <row r="12" spans="1:39" ht="409.6" x14ac:dyDescent="0.2">
      <c r="A12" s="1">
        <v>45859.525219907409</v>
      </c>
      <c r="B12" s="1">
        <v>45859.527800925927</v>
      </c>
      <c r="C12" s="2" t="s">
        <v>42</v>
      </c>
      <c r="D12" s="2" t="s">
        <v>175</v>
      </c>
      <c r="E12">
        <v>100</v>
      </c>
      <c r="F12">
        <v>222</v>
      </c>
      <c r="G12" s="2" t="s">
        <v>68</v>
      </c>
      <c r="H12" s="1">
        <v>45859.5278096412</v>
      </c>
      <c r="I12" s="2" t="s">
        <v>176</v>
      </c>
      <c r="J12" s="2" t="s">
        <v>67</v>
      </c>
      <c r="K12" s="2" t="s">
        <v>67</v>
      </c>
      <c r="L12" s="2" t="s">
        <v>67</v>
      </c>
      <c r="M12" s="2" t="s">
        <v>67</v>
      </c>
      <c r="N12">
        <v>43.072499999999998</v>
      </c>
      <c r="O12">
        <v>-89.449100000000001</v>
      </c>
      <c r="P12" s="2" t="s">
        <v>78</v>
      </c>
      <c r="Q12" s="2" t="s">
        <v>69</v>
      </c>
      <c r="R12" s="2" t="s">
        <v>177</v>
      </c>
      <c r="S12" s="2" t="s">
        <v>178</v>
      </c>
      <c r="T12" s="2" t="s">
        <v>179</v>
      </c>
      <c r="U12" s="2" t="s">
        <v>125</v>
      </c>
      <c r="V12" s="2" t="s">
        <v>82</v>
      </c>
      <c r="W12" s="2" t="s">
        <v>180</v>
      </c>
      <c r="X12" s="2" t="s">
        <v>70</v>
      </c>
      <c r="Y12" s="2" t="s">
        <v>71</v>
      </c>
      <c r="Z12" s="2" t="s">
        <v>67</v>
      </c>
      <c r="AA12" s="2" t="s">
        <v>67</v>
      </c>
      <c r="AB12" s="2" t="s">
        <v>181</v>
      </c>
      <c r="AC12" s="2" t="s">
        <v>182</v>
      </c>
      <c r="AD12" s="2" t="s">
        <v>183</v>
      </c>
      <c r="AE12" s="2" t="s">
        <v>67</v>
      </c>
      <c r="AF12" s="2" t="s">
        <v>67</v>
      </c>
      <c r="AG12" s="2" t="s">
        <v>67</v>
      </c>
      <c r="AH12" s="2" t="s">
        <v>67</v>
      </c>
      <c r="AI12" s="2" t="s">
        <v>67</v>
      </c>
      <c r="AJ12" s="2" t="s">
        <v>67</v>
      </c>
      <c r="AK12" s="2" t="s">
        <v>184</v>
      </c>
      <c r="AL12" s="2" t="s">
        <v>142</v>
      </c>
      <c r="AM12" s="2" t="s">
        <v>73</v>
      </c>
    </row>
    <row r="13" spans="1:39" ht="48" x14ac:dyDescent="0.2">
      <c r="A13" s="1">
        <v>45852.579768518517</v>
      </c>
      <c r="B13" s="1">
        <v>45852.580474537041</v>
      </c>
      <c r="C13" s="2" t="s">
        <v>42</v>
      </c>
      <c r="D13" s="2" t="s">
        <v>185</v>
      </c>
      <c r="E13">
        <v>54</v>
      </c>
      <c r="F13">
        <v>60</v>
      </c>
      <c r="G13" s="2" t="s">
        <v>80</v>
      </c>
      <c r="H13" s="1">
        <v>45859.58052841435</v>
      </c>
      <c r="I13" s="2" t="s">
        <v>186</v>
      </c>
      <c r="J13" s="2" t="s">
        <v>67</v>
      </c>
      <c r="K13" s="2" t="s">
        <v>67</v>
      </c>
      <c r="L13" s="2" t="s">
        <v>67</v>
      </c>
      <c r="M13" s="2" t="s">
        <v>67</v>
      </c>
      <c r="N13">
        <v>43.072499999999998</v>
      </c>
      <c r="O13">
        <v>-89.449100000000001</v>
      </c>
      <c r="P13" s="2" t="s">
        <v>78</v>
      </c>
      <c r="Q13" s="2" t="s">
        <v>69</v>
      </c>
      <c r="R13" s="2" t="s">
        <v>187</v>
      </c>
      <c r="S13" s="2" t="s">
        <v>188</v>
      </c>
      <c r="T13" s="2" t="s">
        <v>189</v>
      </c>
      <c r="U13" s="2" t="s">
        <v>67</v>
      </c>
      <c r="V13" s="2" t="s">
        <v>190</v>
      </c>
      <c r="W13" s="2" t="s">
        <v>191</v>
      </c>
      <c r="X13" s="2" t="s">
        <v>70</v>
      </c>
      <c r="Y13" s="2" t="s">
        <v>74</v>
      </c>
      <c r="Z13" s="2" t="s">
        <v>67</v>
      </c>
      <c r="AA13" s="2" t="s">
        <v>67</v>
      </c>
      <c r="AB13" s="2" t="s">
        <v>67</v>
      </c>
      <c r="AC13" s="2" t="s">
        <v>67</v>
      </c>
      <c r="AD13" s="2" t="s">
        <v>67</v>
      </c>
      <c r="AE13" s="2" t="s">
        <v>67</v>
      </c>
      <c r="AF13" s="2" t="s">
        <v>67</v>
      </c>
      <c r="AG13" s="2" t="s">
        <v>67</v>
      </c>
      <c r="AH13" s="2" t="s">
        <v>67</v>
      </c>
      <c r="AI13" s="2" t="s">
        <v>67</v>
      </c>
      <c r="AJ13" s="2" t="s">
        <v>67</v>
      </c>
      <c r="AK13" s="2" t="s">
        <v>192</v>
      </c>
      <c r="AL13" s="2" t="s">
        <v>142</v>
      </c>
      <c r="AM13" s="2" t="s">
        <v>73</v>
      </c>
    </row>
    <row r="14" spans="1:39" ht="409.6" x14ac:dyDescent="0.2">
      <c r="A14" s="1">
        <v>45859.622569444444</v>
      </c>
      <c r="B14" s="1">
        <v>45859.625428240739</v>
      </c>
      <c r="C14" s="2" t="s">
        <v>42</v>
      </c>
      <c r="D14" s="2" t="s">
        <v>193</v>
      </c>
      <c r="E14">
        <v>100</v>
      </c>
      <c r="F14">
        <v>247</v>
      </c>
      <c r="G14" s="2" t="s">
        <v>68</v>
      </c>
      <c r="H14" s="1">
        <v>45859.625438310184</v>
      </c>
      <c r="I14" s="2" t="s">
        <v>194</v>
      </c>
      <c r="J14" s="2" t="s">
        <v>67</v>
      </c>
      <c r="K14" s="2" t="s">
        <v>67</v>
      </c>
      <c r="L14" s="2" t="s">
        <v>67</v>
      </c>
      <c r="M14" s="2" t="s">
        <v>67</v>
      </c>
      <c r="N14">
        <v>43.0334</v>
      </c>
      <c r="O14">
        <v>-89.4512</v>
      </c>
      <c r="P14" s="2" t="s">
        <v>78</v>
      </c>
      <c r="Q14" s="2" t="s">
        <v>69</v>
      </c>
      <c r="R14" s="2" t="s">
        <v>195</v>
      </c>
      <c r="S14" s="2" t="s">
        <v>196</v>
      </c>
      <c r="T14" s="2" t="s">
        <v>197</v>
      </c>
      <c r="U14" s="2" t="s">
        <v>198</v>
      </c>
      <c r="V14" s="2" t="s">
        <v>82</v>
      </c>
      <c r="W14" s="2" t="s">
        <v>199</v>
      </c>
      <c r="X14" s="2" t="s">
        <v>70</v>
      </c>
      <c r="Y14" s="2" t="s">
        <v>71</v>
      </c>
      <c r="Z14" s="2" t="s">
        <v>67</v>
      </c>
      <c r="AA14" s="2" t="s">
        <v>67</v>
      </c>
      <c r="AB14" s="2" t="s">
        <v>200</v>
      </c>
      <c r="AC14" s="2" t="s">
        <v>201</v>
      </c>
      <c r="AD14" s="2" t="s">
        <v>202</v>
      </c>
      <c r="AE14" s="2" t="s">
        <v>67</v>
      </c>
      <c r="AF14" s="2" t="s">
        <v>67</v>
      </c>
      <c r="AG14" s="2" t="s">
        <v>67</v>
      </c>
      <c r="AH14" s="2" t="s">
        <v>67</v>
      </c>
      <c r="AI14" s="2" t="s">
        <v>67</v>
      </c>
      <c r="AJ14" s="2" t="s">
        <v>67</v>
      </c>
      <c r="AK14" s="2" t="s">
        <v>184</v>
      </c>
      <c r="AL14" s="2" t="s">
        <v>142</v>
      </c>
      <c r="AM14" s="2" t="s">
        <v>73</v>
      </c>
    </row>
    <row r="15" spans="1:39" ht="409.6" x14ac:dyDescent="0.2">
      <c r="A15" s="1">
        <v>45859.661249999997</v>
      </c>
      <c r="B15" s="1">
        <v>45859.66642361111</v>
      </c>
      <c r="C15" s="2" t="s">
        <v>42</v>
      </c>
      <c r="D15" s="2" t="s">
        <v>203</v>
      </c>
      <c r="E15">
        <v>100</v>
      </c>
      <c r="F15">
        <v>447</v>
      </c>
      <c r="G15" s="2" t="s">
        <v>68</v>
      </c>
      <c r="H15" s="1">
        <v>45859.666440312503</v>
      </c>
      <c r="I15" s="2" t="s">
        <v>204</v>
      </c>
      <c r="J15" s="2" t="s">
        <v>67</v>
      </c>
      <c r="K15" s="2" t="s">
        <v>67</v>
      </c>
      <c r="L15" s="2" t="s">
        <v>67</v>
      </c>
      <c r="M15" s="2" t="s">
        <v>67</v>
      </c>
      <c r="N15">
        <v>43.072499999999998</v>
      </c>
      <c r="O15">
        <v>-89.449100000000001</v>
      </c>
      <c r="P15" s="2" t="s">
        <v>78</v>
      </c>
      <c r="Q15" s="2" t="s">
        <v>69</v>
      </c>
      <c r="R15" s="2" t="s">
        <v>205</v>
      </c>
      <c r="S15" s="2" t="s">
        <v>206</v>
      </c>
      <c r="T15" s="2" t="s">
        <v>207</v>
      </c>
      <c r="U15" s="2" t="s">
        <v>208</v>
      </c>
      <c r="V15" s="2" t="s">
        <v>82</v>
      </c>
      <c r="W15" s="2" t="s">
        <v>209</v>
      </c>
      <c r="X15" s="2" t="s">
        <v>70</v>
      </c>
      <c r="Y15" s="2" t="s">
        <v>71</v>
      </c>
      <c r="Z15" s="2" t="s">
        <v>67</v>
      </c>
      <c r="AA15" s="2" t="s">
        <v>67</v>
      </c>
      <c r="AB15" s="2" t="s">
        <v>210</v>
      </c>
      <c r="AC15" s="2" t="s">
        <v>211</v>
      </c>
      <c r="AD15" s="2" t="s">
        <v>212</v>
      </c>
      <c r="AE15" s="2" t="s">
        <v>67</v>
      </c>
      <c r="AF15" s="2" t="s">
        <v>67</v>
      </c>
      <c r="AG15" s="2" t="s">
        <v>67</v>
      </c>
      <c r="AH15" s="2" t="s">
        <v>67</v>
      </c>
      <c r="AI15" s="2" t="s">
        <v>67</v>
      </c>
      <c r="AJ15" s="2" t="s">
        <v>67</v>
      </c>
      <c r="AK15" s="2" t="s">
        <v>184</v>
      </c>
      <c r="AL15" s="2" t="s">
        <v>142</v>
      </c>
      <c r="AM15" s="2" t="s">
        <v>73</v>
      </c>
    </row>
    <row r="16" spans="1:39" ht="409.6" x14ac:dyDescent="0.2">
      <c r="A16" s="1">
        <v>45859.849699074075</v>
      </c>
      <c r="B16" s="1">
        <v>45859.85324074074</v>
      </c>
      <c r="C16" s="2" t="s">
        <v>42</v>
      </c>
      <c r="D16" s="2" t="s">
        <v>213</v>
      </c>
      <c r="E16">
        <v>100</v>
      </c>
      <c r="F16">
        <v>305</v>
      </c>
      <c r="G16" s="2" t="s">
        <v>68</v>
      </c>
      <c r="H16" s="1">
        <v>45859.85325226852</v>
      </c>
      <c r="I16" s="2" t="s">
        <v>214</v>
      </c>
      <c r="J16" s="2" t="s">
        <v>67</v>
      </c>
      <c r="K16" s="2" t="s">
        <v>67</v>
      </c>
      <c r="L16" s="2" t="s">
        <v>67</v>
      </c>
      <c r="M16" s="2" t="s">
        <v>67</v>
      </c>
      <c r="N16">
        <v>43.0334</v>
      </c>
      <c r="O16">
        <v>-89.4512</v>
      </c>
      <c r="P16" s="2" t="s">
        <v>78</v>
      </c>
      <c r="Q16" s="2" t="s">
        <v>69</v>
      </c>
      <c r="R16" s="2" t="s">
        <v>215</v>
      </c>
      <c r="S16" s="2" t="s">
        <v>216</v>
      </c>
      <c r="T16" s="2" t="s">
        <v>217</v>
      </c>
      <c r="U16" s="2" t="s">
        <v>218</v>
      </c>
      <c r="V16" s="2" t="s">
        <v>219</v>
      </c>
      <c r="W16" s="2" t="s">
        <v>220</v>
      </c>
      <c r="X16" s="2" t="s">
        <v>70</v>
      </c>
      <c r="Y16" s="2" t="s">
        <v>71</v>
      </c>
      <c r="Z16" s="2" t="s">
        <v>67</v>
      </c>
      <c r="AA16" s="2" t="s">
        <v>67</v>
      </c>
      <c r="AB16" s="2" t="s">
        <v>221</v>
      </c>
      <c r="AC16" s="2" t="s">
        <v>222</v>
      </c>
      <c r="AD16" s="2" t="s">
        <v>223</v>
      </c>
      <c r="AE16" s="2" t="s">
        <v>67</v>
      </c>
      <c r="AF16" s="2" t="s">
        <v>67</v>
      </c>
      <c r="AG16" s="2" t="s">
        <v>67</v>
      </c>
      <c r="AH16" s="2" t="s">
        <v>67</v>
      </c>
      <c r="AI16" s="2" t="s">
        <v>67</v>
      </c>
      <c r="AJ16" s="2" t="s">
        <v>67</v>
      </c>
      <c r="AK16" s="2" t="s">
        <v>184</v>
      </c>
      <c r="AL16" s="2" t="s">
        <v>142</v>
      </c>
      <c r="AM16" s="2" t="s">
        <v>73</v>
      </c>
    </row>
    <row r="17" spans="1:39" ht="409.6" x14ac:dyDescent="0.2">
      <c r="A17" s="1">
        <v>45859.874293981484</v>
      </c>
      <c r="B17" s="1">
        <v>45859.876909722225</v>
      </c>
      <c r="C17" s="2" t="s">
        <v>42</v>
      </c>
      <c r="D17" s="2" t="s">
        <v>224</v>
      </c>
      <c r="E17">
        <v>100</v>
      </c>
      <c r="F17">
        <v>226</v>
      </c>
      <c r="G17" s="2" t="s">
        <v>68</v>
      </c>
      <c r="H17" s="1">
        <v>45859.876918043985</v>
      </c>
      <c r="I17" s="2" t="s">
        <v>225</v>
      </c>
      <c r="J17" s="2" t="s">
        <v>67</v>
      </c>
      <c r="K17" s="2" t="s">
        <v>67</v>
      </c>
      <c r="L17" s="2" t="s">
        <v>67</v>
      </c>
      <c r="M17" s="2" t="s">
        <v>67</v>
      </c>
      <c r="N17">
        <v>43.081200000000003</v>
      </c>
      <c r="O17">
        <v>-89.383799999999994</v>
      </c>
      <c r="P17" s="2" t="s">
        <v>78</v>
      </c>
      <c r="Q17" s="2" t="s">
        <v>69</v>
      </c>
      <c r="R17" s="2" t="s">
        <v>226</v>
      </c>
      <c r="S17" s="2" t="s">
        <v>227</v>
      </c>
      <c r="T17" s="2" t="s">
        <v>228</v>
      </c>
      <c r="U17" s="2" t="s">
        <v>67</v>
      </c>
      <c r="V17" s="2" t="s">
        <v>82</v>
      </c>
      <c r="W17" s="2" t="s">
        <v>104</v>
      </c>
      <c r="X17" s="2" t="s">
        <v>70</v>
      </c>
      <c r="Y17" s="2" t="s">
        <v>71</v>
      </c>
      <c r="Z17" s="2" t="s">
        <v>67</v>
      </c>
      <c r="AA17" s="2" t="s">
        <v>67</v>
      </c>
      <c r="AB17" s="2" t="s">
        <v>229</v>
      </c>
      <c r="AC17" s="2" t="s">
        <v>230</v>
      </c>
      <c r="AD17" s="2" t="s">
        <v>231</v>
      </c>
      <c r="AE17" s="2" t="s">
        <v>67</v>
      </c>
      <c r="AF17" s="2" t="s">
        <v>67</v>
      </c>
      <c r="AG17" s="2" t="s">
        <v>67</v>
      </c>
      <c r="AH17" s="2" t="s">
        <v>67</v>
      </c>
      <c r="AI17" s="2" t="s">
        <v>67</v>
      </c>
      <c r="AJ17" s="2" t="s">
        <v>67</v>
      </c>
      <c r="AK17" s="2" t="s">
        <v>184</v>
      </c>
      <c r="AL17" s="2" t="s">
        <v>142</v>
      </c>
      <c r="AM17" s="2" t="s">
        <v>73</v>
      </c>
    </row>
    <row r="18" spans="1:39" ht="409.6" x14ac:dyDescent="0.2">
      <c r="A18" s="1">
        <v>45860.42119212963</v>
      </c>
      <c r="B18" s="1">
        <v>45860.425844907404</v>
      </c>
      <c r="C18" s="2" t="s">
        <v>42</v>
      </c>
      <c r="D18" s="2" t="s">
        <v>232</v>
      </c>
      <c r="E18">
        <v>100</v>
      </c>
      <c r="F18">
        <v>401</v>
      </c>
      <c r="G18" s="2" t="s">
        <v>68</v>
      </c>
      <c r="H18" s="1">
        <v>45860.42584974537</v>
      </c>
      <c r="I18" s="2" t="s">
        <v>233</v>
      </c>
      <c r="J18" s="2" t="s">
        <v>67</v>
      </c>
      <c r="K18" s="2" t="s">
        <v>67</v>
      </c>
      <c r="L18" s="2" t="s">
        <v>67</v>
      </c>
      <c r="M18" s="2" t="s">
        <v>67</v>
      </c>
      <c r="N18">
        <v>43.078200000000002</v>
      </c>
      <c r="O18">
        <v>-89.407499999999999</v>
      </c>
      <c r="P18" s="2" t="s">
        <v>78</v>
      </c>
      <c r="Q18" s="2" t="s">
        <v>69</v>
      </c>
      <c r="R18" s="2" t="s">
        <v>234</v>
      </c>
      <c r="S18" s="2" t="s">
        <v>235</v>
      </c>
      <c r="T18" s="2" t="s">
        <v>236</v>
      </c>
      <c r="U18" s="2" t="s">
        <v>125</v>
      </c>
      <c r="V18" s="2" t="s">
        <v>237</v>
      </c>
      <c r="W18" s="2" t="s">
        <v>238</v>
      </c>
      <c r="X18" s="2" t="s">
        <v>70</v>
      </c>
      <c r="Y18" s="2" t="s">
        <v>71</v>
      </c>
      <c r="Z18" s="2" t="s">
        <v>67</v>
      </c>
      <c r="AA18" s="2" t="s">
        <v>67</v>
      </c>
      <c r="AB18" s="2" t="s">
        <v>239</v>
      </c>
      <c r="AC18" s="2" t="s">
        <v>240</v>
      </c>
      <c r="AD18" s="2" t="s">
        <v>241</v>
      </c>
      <c r="AE18" s="2" t="s">
        <v>67</v>
      </c>
      <c r="AF18" s="2" t="s">
        <v>67</v>
      </c>
      <c r="AG18" s="2" t="s">
        <v>67</v>
      </c>
      <c r="AH18" s="2" t="s">
        <v>67</v>
      </c>
      <c r="AI18" s="2" t="s">
        <v>67</v>
      </c>
      <c r="AJ18" s="2" t="s">
        <v>67</v>
      </c>
      <c r="AK18" s="2" t="s">
        <v>242</v>
      </c>
      <c r="AL18" s="2" t="s">
        <v>142</v>
      </c>
      <c r="AM18" s="2" t="s">
        <v>73</v>
      </c>
    </row>
    <row r="19" spans="1:39" ht="409.6" x14ac:dyDescent="0.2">
      <c r="A19" s="1">
        <v>45859.542141203703</v>
      </c>
      <c r="B19" s="1">
        <v>45860.446250000001</v>
      </c>
      <c r="C19" s="2" t="s">
        <v>42</v>
      </c>
      <c r="D19" s="2" t="s">
        <v>243</v>
      </c>
      <c r="E19">
        <v>100</v>
      </c>
      <c r="F19">
        <v>78115</v>
      </c>
      <c r="G19" s="2" t="s">
        <v>68</v>
      </c>
      <c r="H19" s="1">
        <v>45860.446263981481</v>
      </c>
      <c r="I19" s="2" t="s">
        <v>244</v>
      </c>
      <c r="J19" s="2" t="s">
        <v>67</v>
      </c>
      <c r="K19" s="2" t="s">
        <v>67</v>
      </c>
      <c r="L19" s="2" t="s">
        <v>67</v>
      </c>
      <c r="M19" s="2" t="s">
        <v>67</v>
      </c>
      <c r="N19">
        <v>43.064</v>
      </c>
      <c r="O19">
        <v>-89.396500000000003</v>
      </c>
      <c r="P19" s="2" t="s">
        <v>78</v>
      </c>
      <c r="Q19" s="2" t="s">
        <v>69</v>
      </c>
      <c r="R19" s="2" t="s">
        <v>245</v>
      </c>
      <c r="S19" s="2" t="s">
        <v>246</v>
      </c>
      <c r="T19" s="2" t="s">
        <v>247</v>
      </c>
      <c r="U19" s="2" t="s">
        <v>90</v>
      </c>
      <c r="V19" s="2" t="s">
        <v>237</v>
      </c>
      <c r="W19" s="2" t="s">
        <v>248</v>
      </c>
      <c r="X19" s="2" t="s">
        <v>70</v>
      </c>
      <c r="Y19" s="2" t="s">
        <v>71</v>
      </c>
      <c r="Z19" s="2" t="s">
        <v>67</v>
      </c>
      <c r="AA19" s="2" t="s">
        <v>67</v>
      </c>
      <c r="AB19" s="2" t="s">
        <v>249</v>
      </c>
      <c r="AC19" s="2" t="s">
        <v>250</v>
      </c>
      <c r="AD19" s="2" t="s">
        <v>251</v>
      </c>
      <c r="AE19" s="2" t="s">
        <v>67</v>
      </c>
      <c r="AF19" s="2" t="s">
        <v>67</v>
      </c>
      <c r="AG19" s="2" t="s">
        <v>67</v>
      </c>
      <c r="AH19" s="2" t="s">
        <v>67</v>
      </c>
      <c r="AI19" s="2" t="s">
        <v>67</v>
      </c>
      <c r="AJ19" s="2" t="s">
        <v>67</v>
      </c>
      <c r="AK19" s="2" t="s">
        <v>184</v>
      </c>
      <c r="AL19" s="2" t="s">
        <v>142</v>
      </c>
      <c r="AM19" s="2" t="s">
        <v>73</v>
      </c>
    </row>
    <row r="20" spans="1:39" ht="409.6" x14ac:dyDescent="0.2">
      <c r="A20" s="1">
        <v>45860.439097222225</v>
      </c>
      <c r="B20" s="1">
        <v>45860.468773148146</v>
      </c>
      <c r="C20" s="2" t="s">
        <v>42</v>
      </c>
      <c r="D20" s="2" t="s">
        <v>252</v>
      </c>
      <c r="E20">
        <v>100</v>
      </c>
      <c r="F20">
        <v>2563</v>
      </c>
      <c r="G20" s="2" t="s">
        <v>68</v>
      </c>
      <c r="H20" s="1">
        <v>45860.468783055556</v>
      </c>
      <c r="I20" s="2" t="s">
        <v>253</v>
      </c>
      <c r="J20" s="2" t="s">
        <v>67</v>
      </c>
      <c r="K20" s="2" t="s">
        <v>67</v>
      </c>
      <c r="L20" s="2" t="s">
        <v>67</v>
      </c>
      <c r="M20" s="2" t="s">
        <v>67</v>
      </c>
      <c r="N20">
        <v>43.081200000000003</v>
      </c>
      <c r="O20">
        <v>-89.383799999999994</v>
      </c>
      <c r="P20" s="2" t="s">
        <v>78</v>
      </c>
      <c r="Q20" s="2" t="s">
        <v>69</v>
      </c>
      <c r="R20" s="2" t="s">
        <v>254</v>
      </c>
      <c r="S20" s="2" t="s">
        <v>88</v>
      </c>
      <c r="T20" s="2" t="s">
        <v>255</v>
      </c>
      <c r="U20" s="2" t="s">
        <v>67</v>
      </c>
      <c r="V20" s="2" t="s">
        <v>82</v>
      </c>
      <c r="W20" s="2" t="s">
        <v>256</v>
      </c>
      <c r="X20" s="2" t="s">
        <v>70</v>
      </c>
      <c r="Y20" s="2" t="s">
        <v>71</v>
      </c>
      <c r="Z20" s="2" t="s">
        <v>67</v>
      </c>
      <c r="AA20" s="2" t="s">
        <v>67</v>
      </c>
      <c r="AB20" s="2" t="s">
        <v>257</v>
      </c>
      <c r="AC20" s="2" t="s">
        <v>258</v>
      </c>
      <c r="AD20" s="2" t="s">
        <v>259</v>
      </c>
      <c r="AE20" s="2" t="s">
        <v>67</v>
      </c>
      <c r="AF20" s="2" t="s">
        <v>67</v>
      </c>
      <c r="AG20" s="2" t="s">
        <v>67</v>
      </c>
      <c r="AH20" s="2" t="s">
        <v>67</v>
      </c>
      <c r="AI20" s="2" t="s">
        <v>67</v>
      </c>
      <c r="AJ20" s="2" t="s">
        <v>67</v>
      </c>
      <c r="AK20" s="2" t="s">
        <v>242</v>
      </c>
      <c r="AL20" s="2" t="s">
        <v>142</v>
      </c>
      <c r="AM20" s="2" t="s">
        <v>73</v>
      </c>
    </row>
    <row r="21" spans="1:39" ht="409.6" x14ac:dyDescent="0.2">
      <c r="A21" s="1">
        <v>45860.534837962965</v>
      </c>
      <c r="B21" s="1">
        <v>45860.538159722222</v>
      </c>
      <c r="C21" s="2" t="s">
        <v>42</v>
      </c>
      <c r="D21" s="2" t="s">
        <v>260</v>
      </c>
      <c r="E21">
        <v>100</v>
      </c>
      <c r="F21">
        <v>286</v>
      </c>
      <c r="G21" s="2" t="s">
        <v>68</v>
      </c>
      <c r="H21" s="1">
        <v>45860.538167673614</v>
      </c>
      <c r="I21" s="2" t="s">
        <v>261</v>
      </c>
      <c r="J21" s="2" t="s">
        <v>67</v>
      </c>
      <c r="K21" s="2" t="s">
        <v>67</v>
      </c>
      <c r="L21" s="2" t="s">
        <v>67</v>
      </c>
      <c r="M21" s="2" t="s">
        <v>67</v>
      </c>
      <c r="N21">
        <v>43.081200000000003</v>
      </c>
      <c r="O21">
        <v>-89.383799999999994</v>
      </c>
      <c r="P21" s="2" t="s">
        <v>78</v>
      </c>
      <c r="Q21" s="2" t="s">
        <v>69</v>
      </c>
      <c r="R21" s="2" t="s">
        <v>262</v>
      </c>
      <c r="S21" s="2" t="s">
        <v>263</v>
      </c>
      <c r="T21" s="2" t="s">
        <v>264</v>
      </c>
      <c r="U21" s="2" t="s">
        <v>90</v>
      </c>
      <c r="V21" s="2" t="s">
        <v>265</v>
      </c>
      <c r="W21" s="2" t="s">
        <v>266</v>
      </c>
      <c r="X21" s="2" t="s">
        <v>70</v>
      </c>
      <c r="Y21" s="2" t="s">
        <v>71</v>
      </c>
      <c r="Z21" s="2" t="s">
        <v>67</v>
      </c>
      <c r="AA21" s="2" t="s">
        <v>67</v>
      </c>
      <c r="AB21" s="2" t="s">
        <v>267</v>
      </c>
      <c r="AC21" s="2" t="s">
        <v>268</v>
      </c>
      <c r="AD21" s="2" t="s">
        <v>269</v>
      </c>
      <c r="AE21" s="2" t="s">
        <v>67</v>
      </c>
      <c r="AF21" s="2" t="s">
        <v>67</v>
      </c>
      <c r="AG21" s="2" t="s">
        <v>67</v>
      </c>
      <c r="AH21" s="2" t="s">
        <v>67</v>
      </c>
      <c r="AI21" s="2" t="s">
        <v>67</v>
      </c>
      <c r="AJ21" s="2" t="s">
        <v>67</v>
      </c>
      <c r="AK21" s="2" t="s">
        <v>242</v>
      </c>
      <c r="AL21" s="2" t="s">
        <v>142</v>
      </c>
      <c r="AM21" s="2" t="s">
        <v>73</v>
      </c>
    </row>
    <row r="22" spans="1:39" ht="48" x14ac:dyDescent="0.2">
      <c r="A22" s="1">
        <v>45853.524074074077</v>
      </c>
      <c r="B22" s="1">
        <v>45853.66300925926</v>
      </c>
      <c r="C22" s="2" t="s">
        <v>42</v>
      </c>
      <c r="D22" s="2" t="s">
        <v>270</v>
      </c>
      <c r="E22">
        <v>29</v>
      </c>
      <c r="F22">
        <v>12004</v>
      </c>
      <c r="G22" s="2" t="s">
        <v>80</v>
      </c>
      <c r="H22" s="1">
        <v>45860.663077592595</v>
      </c>
      <c r="I22" s="2" t="s">
        <v>271</v>
      </c>
      <c r="J22" s="2" t="s">
        <v>67</v>
      </c>
      <c r="K22" s="2" t="s">
        <v>67</v>
      </c>
      <c r="L22" s="2" t="s">
        <v>67</v>
      </c>
      <c r="M22" s="2" t="s">
        <v>67</v>
      </c>
      <c r="N22">
        <v>43.081200000000003</v>
      </c>
      <c r="O22">
        <v>-89.383799999999994</v>
      </c>
      <c r="P22" s="2" t="s">
        <v>78</v>
      </c>
      <c r="Q22" s="2" t="s">
        <v>69</v>
      </c>
      <c r="R22" s="2" t="s">
        <v>272</v>
      </c>
      <c r="S22" s="2" t="s">
        <v>273</v>
      </c>
      <c r="T22" s="2" t="s">
        <v>274</v>
      </c>
      <c r="U22" s="2" t="s">
        <v>90</v>
      </c>
      <c r="V22" s="2" t="s">
        <v>219</v>
      </c>
      <c r="W22" s="2" t="s">
        <v>209</v>
      </c>
      <c r="X22" s="2" t="s">
        <v>67</v>
      </c>
      <c r="Y22" s="2" t="s">
        <v>67</v>
      </c>
      <c r="Z22" s="2" t="s">
        <v>67</v>
      </c>
      <c r="AA22" s="2" t="s">
        <v>67</v>
      </c>
      <c r="AB22" s="2" t="s">
        <v>67</v>
      </c>
      <c r="AC22" s="2" t="s">
        <v>67</v>
      </c>
      <c r="AD22" s="2" t="s">
        <v>67</v>
      </c>
      <c r="AE22" s="2" t="s">
        <v>67</v>
      </c>
      <c r="AF22" s="2" t="s">
        <v>67</v>
      </c>
      <c r="AG22" s="2" t="s">
        <v>67</v>
      </c>
      <c r="AH22" s="2" t="s">
        <v>67</v>
      </c>
      <c r="AI22" s="2" t="s">
        <v>67</v>
      </c>
      <c r="AJ22" s="2" t="s">
        <v>67</v>
      </c>
      <c r="AK22" s="2" t="s">
        <v>72</v>
      </c>
      <c r="AL22" s="2" t="s">
        <v>142</v>
      </c>
      <c r="AM22" s="2" t="s">
        <v>73</v>
      </c>
    </row>
    <row r="23" spans="1:39" ht="409.6" x14ac:dyDescent="0.2">
      <c r="A23" s="1">
        <v>45860.651539351849</v>
      </c>
      <c r="B23" s="1">
        <v>45860.66978009259</v>
      </c>
      <c r="C23" s="2" t="s">
        <v>42</v>
      </c>
      <c r="D23" s="2" t="s">
        <v>275</v>
      </c>
      <c r="E23">
        <v>100</v>
      </c>
      <c r="F23">
        <v>1575</v>
      </c>
      <c r="G23" s="2" t="s">
        <v>68</v>
      </c>
      <c r="H23" s="1">
        <v>45860.669789490741</v>
      </c>
      <c r="I23" s="2" t="s">
        <v>276</v>
      </c>
      <c r="J23" s="2" t="s">
        <v>67</v>
      </c>
      <c r="K23" s="2" t="s">
        <v>67</v>
      </c>
      <c r="L23" s="2" t="s">
        <v>67</v>
      </c>
      <c r="M23" s="2" t="s">
        <v>67</v>
      </c>
      <c r="N23">
        <v>43.0334</v>
      </c>
      <c r="O23">
        <v>-89.4512</v>
      </c>
      <c r="P23" s="2" t="s">
        <v>78</v>
      </c>
      <c r="Q23" s="2" t="s">
        <v>69</v>
      </c>
      <c r="R23" s="2" t="s">
        <v>277</v>
      </c>
      <c r="S23" s="2" t="s">
        <v>278</v>
      </c>
      <c r="T23" s="2" t="s">
        <v>279</v>
      </c>
      <c r="U23" s="2" t="s">
        <v>67</v>
      </c>
      <c r="V23" s="2" t="s">
        <v>82</v>
      </c>
      <c r="W23" s="2" t="s">
        <v>280</v>
      </c>
      <c r="X23" s="2" t="s">
        <v>70</v>
      </c>
      <c r="Y23" s="2" t="s">
        <v>74</v>
      </c>
      <c r="Z23" s="2" t="s">
        <v>67</v>
      </c>
      <c r="AA23" s="2" t="s">
        <v>67</v>
      </c>
      <c r="AB23" s="2" t="s">
        <v>281</v>
      </c>
      <c r="AC23" s="2" t="s">
        <v>282</v>
      </c>
      <c r="AD23" s="2" t="s">
        <v>283</v>
      </c>
      <c r="AE23" s="2" t="s">
        <v>67</v>
      </c>
      <c r="AF23" s="2" t="s">
        <v>67</v>
      </c>
      <c r="AG23" s="2" t="s">
        <v>67</v>
      </c>
      <c r="AH23" s="2" t="s">
        <v>284</v>
      </c>
      <c r="AI23" s="2" t="s">
        <v>285</v>
      </c>
      <c r="AJ23" s="2" t="s">
        <v>67</v>
      </c>
      <c r="AK23" s="2" t="s">
        <v>242</v>
      </c>
      <c r="AL23" s="2" t="s">
        <v>142</v>
      </c>
      <c r="AM23" s="2" t="s">
        <v>73</v>
      </c>
    </row>
    <row r="24" spans="1:39" ht="409.6" x14ac:dyDescent="0.2">
      <c r="A24" s="1">
        <v>45860.935706018521</v>
      </c>
      <c r="B24" s="1">
        <v>45860.941412037035</v>
      </c>
      <c r="C24" s="2" t="s">
        <v>42</v>
      </c>
      <c r="D24" s="2" t="s">
        <v>286</v>
      </c>
      <c r="E24">
        <v>100</v>
      </c>
      <c r="F24">
        <v>492</v>
      </c>
      <c r="G24" s="2" t="s">
        <v>68</v>
      </c>
      <c r="H24" s="1">
        <v>45860.941418449074</v>
      </c>
      <c r="I24" s="2" t="s">
        <v>287</v>
      </c>
      <c r="J24" s="2" t="s">
        <v>67</v>
      </c>
      <c r="K24" s="2" t="s">
        <v>67</v>
      </c>
      <c r="L24" s="2" t="s">
        <v>67</v>
      </c>
      <c r="M24" s="2" t="s">
        <v>67</v>
      </c>
      <c r="N24">
        <v>43.072499999999998</v>
      </c>
      <c r="O24">
        <v>-89.449100000000001</v>
      </c>
      <c r="P24" s="2" t="s">
        <v>78</v>
      </c>
      <c r="Q24" s="2" t="s">
        <v>69</v>
      </c>
      <c r="R24" s="2" t="s">
        <v>288</v>
      </c>
      <c r="S24" s="2" t="s">
        <v>289</v>
      </c>
      <c r="T24" s="2" t="s">
        <v>290</v>
      </c>
      <c r="U24" s="2" t="s">
        <v>67</v>
      </c>
      <c r="V24" s="2" t="s">
        <v>291</v>
      </c>
      <c r="W24" s="2" t="s">
        <v>280</v>
      </c>
      <c r="X24" s="2" t="s">
        <v>70</v>
      </c>
      <c r="Y24" s="2" t="s">
        <v>74</v>
      </c>
      <c r="Z24" s="2" t="s">
        <v>67</v>
      </c>
      <c r="AA24" s="2" t="s">
        <v>67</v>
      </c>
      <c r="AB24" s="2" t="s">
        <v>292</v>
      </c>
      <c r="AC24" s="2" t="s">
        <v>293</v>
      </c>
      <c r="AD24" s="2" t="s">
        <v>294</v>
      </c>
      <c r="AE24" s="2" t="s">
        <v>67</v>
      </c>
      <c r="AF24" s="2" t="s">
        <v>67</v>
      </c>
      <c r="AG24" s="2" t="s">
        <v>67</v>
      </c>
      <c r="AH24" s="2" t="s">
        <v>295</v>
      </c>
      <c r="AI24" s="2" t="s">
        <v>296</v>
      </c>
      <c r="AJ24" s="2" t="s">
        <v>67</v>
      </c>
      <c r="AK24" s="2" t="s">
        <v>242</v>
      </c>
      <c r="AL24" s="2" t="s">
        <v>142</v>
      </c>
      <c r="AM24" s="2" t="s">
        <v>73</v>
      </c>
    </row>
    <row r="25" spans="1:39" ht="32" x14ac:dyDescent="0.2">
      <c r="A25" s="1">
        <v>45861.605104166665</v>
      </c>
      <c r="B25" s="1">
        <v>45861.62228009259</v>
      </c>
      <c r="C25" s="2" t="s">
        <v>42</v>
      </c>
      <c r="D25" s="2" t="s">
        <v>297</v>
      </c>
      <c r="E25">
        <v>100</v>
      </c>
      <c r="F25">
        <v>1484</v>
      </c>
      <c r="G25" s="2" t="s">
        <v>68</v>
      </c>
      <c r="H25" s="1">
        <v>45861.622294155095</v>
      </c>
      <c r="I25" s="2" t="s">
        <v>298</v>
      </c>
      <c r="J25" s="2" t="s">
        <v>67</v>
      </c>
      <c r="K25" s="2" t="s">
        <v>67</v>
      </c>
      <c r="L25" s="2" t="s">
        <v>67</v>
      </c>
      <c r="M25" s="2" t="s">
        <v>67</v>
      </c>
      <c r="N25">
        <v>43.0334</v>
      </c>
      <c r="O25">
        <v>-89.4512</v>
      </c>
      <c r="P25" s="2" t="s">
        <v>78</v>
      </c>
      <c r="Q25" s="2" t="s">
        <v>69</v>
      </c>
      <c r="R25" s="2" t="s">
        <v>299</v>
      </c>
      <c r="S25" s="2" t="s">
        <v>300</v>
      </c>
      <c r="T25" s="2" t="s">
        <v>301</v>
      </c>
      <c r="U25" s="2" t="s">
        <v>302</v>
      </c>
      <c r="V25" s="2" t="s">
        <v>303</v>
      </c>
      <c r="W25" s="2" t="s">
        <v>304</v>
      </c>
      <c r="X25" s="2" t="s">
        <v>67</v>
      </c>
      <c r="Y25" s="2" t="s">
        <v>67</v>
      </c>
      <c r="Z25" s="2" t="s">
        <v>67</v>
      </c>
      <c r="AA25" s="2" t="s">
        <v>67</v>
      </c>
      <c r="AB25" s="2" t="s">
        <v>67</v>
      </c>
      <c r="AC25" s="2" t="s">
        <v>67</v>
      </c>
      <c r="AD25" s="2" t="s">
        <v>67</v>
      </c>
      <c r="AE25" s="2" t="s">
        <v>67</v>
      </c>
      <c r="AF25" s="2" t="s">
        <v>67</v>
      </c>
      <c r="AG25" s="2" t="s">
        <v>67</v>
      </c>
      <c r="AH25" s="2" t="s">
        <v>67</v>
      </c>
      <c r="AI25" s="2" t="s">
        <v>67</v>
      </c>
      <c r="AJ25" s="2" t="s">
        <v>67</v>
      </c>
      <c r="AK25" s="2" t="s">
        <v>305</v>
      </c>
      <c r="AL25" s="2" t="s">
        <v>142</v>
      </c>
      <c r="AM25" s="2" t="s">
        <v>73</v>
      </c>
    </row>
    <row r="26" spans="1:39" ht="112" x14ac:dyDescent="0.2">
      <c r="A26" s="1">
        <v>45861.628796296296</v>
      </c>
      <c r="B26" s="1">
        <v>45861.630057870374</v>
      </c>
      <c r="C26" s="2" t="s">
        <v>42</v>
      </c>
      <c r="D26" s="2" t="s">
        <v>297</v>
      </c>
      <c r="E26">
        <v>100</v>
      </c>
      <c r="F26">
        <v>109</v>
      </c>
      <c r="G26" s="2" t="s">
        <v>68</v>
      </c>
      <c r="H26" s="1">
        <v>45861.630072118052</v>
      </c>
      <c r="I26" s="2" t="s">
        <v>306</v>
      </c>
      <c r="J26" s="2" t="s">
        <v>67</v>
      </c>
      <c r="K26" s="2" t="s">
        <v>67</v>
      </c>
      <c r="L26" s="2" t="s">
        <v>67</v>
      </c>
      <c r="M26" s="2" t="s">
        <v>67</v>
      </c>
      <c r="N26">
        <v>43.0334</v>
      </c>
      <c r="O26">
        <v>-89.4512</v>
      </c>
      <c r="P26" s="2" t="s">
        <v>78</v>
      </c>
      <c r="Q26" s="2" t="s">
        <v>69</v>
      </c>
      <c r="R26" s="2" t="s">
        <v>299</v>
      </c>
      <c r="S26" s="2" t="s">
        <v>300</v>
      </c>
      <c r="T26" s="2" t="s">
        <v>307</v>
      </c>
      <c r="U26" s="2" t="s">
        <v>302</v>
      </c>
      <c r="V26" s="2" t="s">
        <v>308</v>
      </c>
      <c r="W26" s="2" t="s">
        <v>309</v>
      </c>
      <c r="X26" s="2" t="s">
        <v>67</v>
      </c>
      <c r="Y26" s="2" t="s">
        <v>67</v>
      </c>
      <c r="Z26" s="2" t="s">
        <v>67</v>
      </c>
      <c r="AA26" s="2" t="s">
        <v>67</v>
      </c>
      <c r="AB26" s="2" t="s">
        <v>67</v>
      </c>
      <c r="AC26" s="2" t="s">
        <v>67</v>
      </c>
      <c r="AD26" s="2" t="s">
        <v>67</v>
      </c>
      <c r="AE26" s="2" t="s">
        <v>67</v>
      </c>
      <c r="AF26" s="2" t="s">
        <v>67</v>
      </c>
      <c r="AG26" s="2" t="s">
        <v>67</v>
      </c>
      <c r="AH26" s="2" t="s">
        <v>67</v>
      </c>
      <c r="AI26" s="2" t="s">
        <v>67</v>
      </c>
      <c r="AJ26" s="2" t="s">
        <v>67</v>
      </c>
      <c r="AK26" s="2" t="s">
        <v>305</v>
      </c>
      <c r="AL26" s="2" t="s">
        <v>142</v>
      </c>
      <c r="AM26" s="2" t="s">
        <v>73</v>
      </c>
    </row>
    <row r="27" spans="1:39" ht="80" x14ac:dyDescent="0.2">
      <c r="A27" s="1">
        <v>45861.631053240744</v>
      </c>
      <c r="B27" s="1">
        <v>45861.633020833331</v>
      </c>
      <c r="C27" s="2" t="s">
        <v>42</v>
      </c>
      <c r="D27" s="2" t="s">
        <v>310</v>
      </c>
      <c r="E27">
        <v>100</v>
      </c>
      <c r="F27">
        <v>170</v>
      </c>
      <c r="G27" s="2" t="s">
        <v>68</v>
      </c>
      <c r="H27" s="1">
        <v>45861.633028263888</v>
      </c>
      <c r="I27" s="2" t="s">
        <v>311</v>
      </c>
      <c r="J27" s="2" t="s">
        <v>67</v>
      </c>
      <c r="K27" s="2" t="s">
        <v>67</v>
      </c>
      <c r="L27" s="2" t="s">
        <v>67</v>
      </c>
      <c r="M27" s="2" t="s">
        <v>67</v>
      </c>
      <c r="N27">
        <v>41.871000000000002</v>
      </c>
      <c r="O27">
        <v>-87.628900000000002</v>
      </c>
      <c r="P27" s="2" t="s">
        <v>78</v>
      </c>
      <c r="Q27" s="2" t="s">
        <v>69</v>
      </c>
      <c r="R27" s="2" t="s">
        <v>312</v>
      </c>
      <c r="S27" s="2" t="s">
        <v>313</v>
      </c>
      <c r="T27" s="2" t="s">
        <v>314</v>
      </c>
      <c r="U27" s="2" t="s">
        <v>315</v>
      </c>
      <c r="V27" s="2" t="s">
        <v>316</v>
      </c>
      <c r="W27" s="2" t="s">
        <v>317</v>
      </c>
      <c r="X27" s="2" t="s">
        <v>67</v>
      </c>
      <c r="Y27" s="2" t="s">
        <v>67</v>
      </c>
      <c r="Z27" s="2" t="s">
        <v>67</v>
      </c>
      <c r="AA27" s="2" t="s">
        <v>67</v>
      </c>
      <c r="AB27" s="2" t="s">
        <v>67</v>
      </c>
      <c r="AC27" s="2" t="s">
        <v>67</v>
      </c>
      <c r="AD27" s="2" t="s">
        <v>67</v>
      </c>
      <c r="AE27" s="2" t="s">
        <v>67</v>
      </c>
      <c r="AF27" s="2" t="s">
        <v>67</v>
      </c>
      <c r="AG27" s="2" t="s">
        <v>67</v>
      </c>
      <c r="AH27" s="2" t="s">
        <v>67</v>
      </c>
      <c r="AI27" s="2" t="s">
        <v>67</v>
      </c>
      <c r="AJ27" s="2" t="s">
        <v>67</v>
      </c>
      <c r="AK27" s="2" t="s">
        <v>305</v>
      </c>
      <c r="AL27" s="2" t="s">
        <v>142</v>
      </c>
      <c r="AM27" s="2" t="s">
        <v>73</v>
      </c>
    </row>
    <row r="28" spans="1:39" ht="80" x14ac:dyDescent="0.2">
      <c r="A28" s="1">
        <v>45861.633587962962</v>
      </c>
      <c r="B28" s="1">
        <v>45861.634884259256</v>
      </c>
      <c r="C28" s="2" t="s">
        <v>42</v>
      </c>
      <c r="D28" s="2" t="s">
        <v>310</v>
      </c>
      <c r="E28">
        <v>100</v>
      </c>
      <c r="F28">
        <v>111</v>
      </c>
      <c r="G28" s="2" t="s">
        <v>68</v>
      </c>
      <c r="H28" s="1">
        <v>45861.634893171293</v>
      </c>
      <c r="I28" s="2" t="s">
        <v>318</v>
      </c>
      <c r="J28" s="2" t="s">
        <v>67</v>
      </c>
      <c r="K28" s="2" t="s">
        <v>67</v>
      </c>
      <c r="L28" s="2" t="s">
        <v>67</v>
      </c>
      <c r="M28" s="2" t="s">
        <v>67</v>
      </c>
      <c r="N28">
        <v>41.871000000000002</v>
      </c>
      <c r="O28">
        <v>-87.628900000000002</v>
      </c>
      <c r="P28" s="2" t="s">
        <v>78</v>
      </c>
      <c r="Q28" s="2" t="s">
        <v>69</v>
      </c>
      <c r="R28" s="2" t="s">
        <v>312</v>
      </c>
      <c r="S28" s="2" t="s">
        <v>313</v>
      </c>
      <c r="T28" s="2" t="s">
        <v>314</v>
      </c>
      <c r="U28" s="2" t="s">
        <v>315</v>
      </c>
      <c r="V28" s="2" t="s">
        <v>319</v>
      </c>
      <c r="W28" s="2" t="s">
        <v>317</v>
      </c>
      <c r="X28" s="2" t="s">
        <v>67</v>
      </c>
      <c r="Y28" s="2" t="s">
        <v>67</v>
      </c>
      <c r="Z28" s="2" t="s">
        <v>67</v>
      </c>
      <c r="AA28" s="2" t="s">
        <v>67</v>
      </c>
      <c r="AB28" s="2" t="s">
        <v>67</v>
      </c>
      <c r="AC28" s="2" t="s">
        <v>67</v>
      </c>
      <c r="AD28" s="2" t="s">
        <v>67</v>
      </c>
      <c r="AE28" s="2" t="s">
        <v>67</v>
      </c>
      <c r="AF28" s="2" t="s">
        <v>67</v>
      </c>
      <c r="AG28" s="2" t="s">
        <v>67</v>
      </c>
      <c r="AH28" s="2" t="s">
        <v>67</v>
      </c>
      <c r="AI28" s="2" t="s">
        <v>67</v>
      </c>
      <c r="AJ28" s="2" t="s">
        <v>67</v>
      </c>
      <c r="AK28" s="2" t="s">
        <v>305</v>
      </c>
      <c r="AL28" s="2" t="s">
        <v>142</v>
      </c>
      <c r="AM28" s="2" t="s">
        <v>73</v>
      </c>
    </row>
    <row r="29" spans="1:39" ht="80" x14ac:dyDescent="0.2">
      <c r="A29" s="1">
        <v>45861.66983796296</v>
      </c>
      <c r="B29" s="1">
        <v>45861.670543981483</v>
      </c>
      <c r="C29" s="2" t="s">
        <v>42</v>
      </c>
      <c r="D29" s="2" t="s">
        <v>320</v>
      </c>
      <c r="E29">
        <v>100</v>
      </c>
      <c r="F29">
        <v>60</v>
      </c>
      <c r="G29" s="2" t="s">
        <v>68</v>
      </c>
      <c r="H29" s="1">
        <v>45861.670560625003</v>
      </c>
      <c r="I29" s="2" t="s">
        <v>321</v>
      </c>
      <c r="J29" s="2" t="s">
        <v>67</v>
      </c>
      <c r="K29" s="2" t="s">
        <v>67</v>
      </c>
      <c r="L29" s="2" t="s">
        <v>67</v>
      </c>
      <c r="M29" s="2" t="s">
        <v>67</v>
      </c>
      <c r="N29">
        <v>42.022100000000002</v>
      </c>
      <c r="O29">
        <v>-88.170500000000004</v>
      </c>
      <c r="P29" s="2" t="s">
        <v>78</v>
      </c>
      <c r="Q29" s="2" t="s">
        <v>69</v>
      </c>
      <c r="R29" s="2" t="s">
        <v>322</v>
      </c>
      <c r="S29" s="2" t="s">
        <v>323</v>
      </c>
      <c r="T29" s="2" t="s">
        <v>324</v>
      </c>
      <c r="U29" s="2" t="s">
        <v>67</v>
      </c>
      <c r="V29" s="2" t="s">
        <v>325</v>
      </c>
      <c r="W29" s="2" t="s">
        <v>326</v>
      </c>
      <c r="X29" s="2" t="s">
        <v>67</v>
      </c>
      <c r="Y29" s="2" t="s">
        <v>67</v>
      </c>
      <c r="Z29" s="2" t="s">
        <v>67</v>
      </c>
      <c r="AA29" s="2" t="s">
        <v>67</v>
      </c>
      <c r="AB29" s="2" t="s">
        <v>67</v>
      </c>
      <c r="AC29" s="2" t="s">
        <v>67</v>
      </c>
      <c r="AD29" s="2" t="s">
        <v>67</v>
      </c>
      <c r="AE29" s="2" t="s">
        <v>67</v>
      </c>
      <c r="AF29" s="2" t="s">
        <v>67</v>
      </c>
      <c r="AG29" s="2" t="s">
        <v>67</v>
      </c>
      <c r="AH29" s="2" t="s">
        <v>67</v>
      </c>
      <c r="AI29" s="2" t="s">
        <v>67</v>
      </c>
      <c r="AJ29" s="2" t="s">
        <v>67</v>
      </c>
      <c r="AK29" s="2" t="s">
        <v>305</v>
      </c>
      <c r="AL29" s="2" t="s">
        <v>142</v>
      </c>
      <c r="AM29" s="2" t="s">
        <v>73</v>
      </c>
    </row>
    <row r="30" spans="1:39" ht="48" x14ac:dyDescent="0.2">
      <c r="A30" s="1">
        <v>45861.672812500001</v>
      </c>
      <c r="B30" s="1">
        <v>45861.673252314817</v>
      </c>
      <c r="C30" s="2" t="s">
        <v>42</v>
      </c>
      <c r="D30" s="2" t="s">
        <v>320</v>
      </c>
      <c r="E30">
        <v>100</v>
      </c>
      <c r="F30">
        <v>38</v>
      </c>
      <c r="G30" s="2" t="s">
        <v>68</v>
      </c>
      <c r="H30" s="1">
        <v>45861.673267546299</v>
      </c>
      <c r="I30" s="2" t="s">
        <v>327</v>
      </c>
      <c r="J30" s="2" t="s">
        <v>67</v>
      </c>
      <c r="K30" s="2" t="s">
        <v>67</v>
      </c>
      <c r="L30" s="2" t="s">
        <v>67</v>
      </c>
      <c r="M30" s="2" t="s">
        <v>67</v>
      </c>
      <c r="N30">
        <v>42.022100000000002</v>
      </c>
      <c r="O30">
        <v>-88.170500000000004</v>
      </c>
      <c r="P30" s="2" t="s">
        <v>78</v>
      </c>
      <c r="Q30" s="2" t="s">
        <v>69</v>
      </c>
      <c r="R30" s="2" t="s">
        <v>328</v>
      </c>
      <c r="S30" s="2" t="s">
        <v>323</v>
      </c>
      <c r="T30" s="2" t="s">
        <v>324</v>
      </c>
      <c r="U30" s="2" t="s">
        <v>67</v>
      </c>
      <c r="V30" s="2" t="s">
        <v>82</v>
      </c>
      <c r="W30" s="2" t="s">
        <v>329</v>
      </c>
      <c r="X30" s="2" t="s">
        <v>67</v>
      </c>
      <c r="Y30" s="2" t="s">
        <v>67</v>
      </c>
      <c r="Z30" s="2" t="s">
        <v>67</v>
      </c>
      <c r="AA30" s="2" t="s">
        <v>67</v>
      </c>
      <c r="AB30" s="2" t="s">
        <v>67</v>
      </c>
      <c r="AC30" s="2" t="s">
        <v>67</v>
      </c>
      <c r="AD30" s="2" t="s">
        <v>67</v>
      </c>
      <c r="AE30" s="2" t="s">
        <v>67</v>
      </c>
      <c r="AF30" s="2" t="s">
        <v>67</v>
      </c>
      <c r="AG30" s="2" t="s">
        <v>67</v>
      </c>
      <c r="AH30" s="2" t="s">
        <v>67</v>
      </c>
      <c r="AI30" s="2" t="s">
        <v>67</v>
      </c>
      <c r="AJ30" s="2" t="s">
        <v>67</v>
      </c>
      <c r="AK30" s="2" t="s">
        <v>305</v>
      </c>
      <c r="AL30" s="2" t="s">
        <v>142</v>
      </c>
      <c r="AM30" s="2" t="s">
        <v>73</v>
      </c>
    </row>
    <row r="31" spans="1:39" ht="64" x14ac:dyDescent="0.2">
      <c r="A31" s="1">
        <v>45861.881747685184</v>
      </c>
      <c r="B31" s="1">
        <v>45861.938993055555</v>
      </c>
      <c r="C31" s="2" t="s">
        <v>42</v>
      </c>
      <c r="D31" s="2" t="s">
        <v>330</v>
      </c>
      <c r="E31">
        <v>100</v>
      </c>
      <c r="F31">
        <v>4946</v>
      </c>
      <c r="G31" s="2" t="s">
        <v>68</v>
      </c>
      <c r="H31" s="1">
        <v>45861.939008796297</v>
      </c>
      <c r="I31" s="2" t="s">
        <v>331</v>
      </c>
      <c r="J31" s="2" t="s">
        <v>67</v>
      </c>
      <c r="K31" s="2" t="s">
        <v>67</v>
      </c>
      <c r="L31" s="2" t="s">
        <v>67</v>
      </c>
      <c r="M31" s="2" t="s">
        <v>67</v>
      </c>
      <c r="N31">
        <v>43.072499999999998</v>
      </c>
      <c r="O31">
        <v>-89.449100000000001</v>
      </c>
      <c r="P31" s="2" t="s">
        <v>78</v>
      </c>
      <c r="Q31" s="2" t="s">
        <v>69</v>
      </c>
      <c r="R31" s="2" t="s">
        <v>332</v>
      </c>
      <c r="S31" s="2" t="s">
        <v>109</v>
      </c>
      <c r="T31" s="2" t="s">
        <v>110</v>
      </c>
      <c r="U31" s="2" t="s">
        <v>333</v>
      </c>
      <c r="V31" s="2" t="s">
        <v>334</v>
      </c>
      <c r="W31" s="2" t="s">
        <v>111</v>
      </c>
      <c r="X31" s="2" t="s">
        <v>70</v>
      </c>
      <c r="Y31" s="2" t="s">
        <v>71</v>
      </c>
      <c r="Z31" s="2" t="s">
        <v>67</v>
      </c>
      <c r="AA31" s="2" t="s">
        <v>67</v>
      </c>
      <c r="AB31" s="2" t="s">
        <v>335</v>
      </c>
      <c r="AC31" s="2" t="s">
        <v>336</v>
      </c>
      <c r="AD31" s="2" t="s">
        <v>337</v>
      </c>
      <c r="AE31" s="2" t="s">
        <v>67</v>
      </c>
      <c r="AF31" s="2" t="s">
        <v>67</v>
      </c>
      <c r="AG31" s="2" t="s">
        <v>67</v>
      </c>
      <c r="AH31" s="2" t="s">
        <v>67</v>
      </c>
      <c r="AI31" s="2" t="s">
        <v>67</v>
      </c>
      <c r="AJ31" s="2" t="s">
        <v>67</v>
      </c>
      <c r="AK31" s="2" t="s">
        <v>305</v>
      </c>
      <c r="AL31" s="2" t="s">
        <v>142</v>
      </c>
      <c r="AM31" s="2" t="s">
        <v>73</v>
      </c>
    </row>
    <row r="32" spans="1:39" ht="409.6" x14ac:dyDescent="0.2">
      <c r="A32" s="1">
        <v>45862.348703703705</v>
      </c>
      <c r="B32" s="1">
        <v>45862.358576388891</v>
      </c>
      <c r="C32" s="2" t="s">
        <v>42</v>
      </c>
      <c r="D32" s="2" t="s">
        <v>338</v>
      </c>
      <c r="E32">
        <v>100</v>
      </c>
      <c r="F32">
        <v>852</v>
      </c>
      <c r="G32" s="2" t="s">
        <v>68</v>
      </c>
      <c r="H32" s="1">
        <v>45862.358586944443</v>
      </c>
      <c r="I32" s="2" t="s">
        <v>339</v>
      </c>
      <c r="J32" s="2" t="s">
        <v>67</v>
      </c>
      <c r="K32" s="2" t="s">
        <v>67</v>
      </c>
      <c r="L32" s="2" t="s">
        <v>67</v>
      </c>
      <c r="M32" s="2" t="s">
        <v>67</v>
      </c>
      <c r="N32">
        <v>43.072499999999998</v>
      </c>
      <c r="O32">
        <v>-89.449100000000001</v>
      </c>
      <c r="P32" s="2" t="s">
        <v>78</v>
      </c>
      <c r="Q32" s="2" t="s">
        <v>69</v>
      </c>
      <c r="R32" s="2" t="s">
        <v>340</v>
      </c>
      <c r="S32" s="2" t="s">
        <v>341</v>
      </c>
      <c r="T32" s="2" t="s">
        <v>342</v>
      </c>
      <c r="U32" s="2" t="s">
        <v>218</v>
      </c>
      <c r="V32" s="2" t="s">
        <v>126</v>
      </c>
      <c r="W32" s="2" t="s">
        <v>119</v>
      </c>
      <c r="X32" s="2" t="s">
        <v>70</v>
      </c>
      <c r="Y32" s="2" t="s">
        <v>71</v>
      </c>
      <c r="Z32" s="2" t="s">
        <v>67</v>
      </c>
      <c r="AA32" s="2" t="s">
        <v>67</v>
      </c>
      <c r="AB32" s="2" t="s">
        <v>343</v>
      </c>
      <c r="AC32" s="2" t="s">
        <v>344</v>
      </c>
      <c r="AD32" s="2" t="s">
        <v>345</v>
      </c>
      <c r="AE32" s="2" t="s">
        <v>67</v>
      </c>
      <c r="AF32" s="2" t="s">
        <v>67</v>
      </c>
      <c r="AG32" s="2" t="s">
        <v>67</v>
      </c>
      <c r="AH32" s="2" t="s">
        <v>67</v>
      </c>
      <c r="AI32" s="2" t="s">
        <v>67</v>
      </c>
      <c r="AJ32" s="2" t="s">
        <v>67</v>
      </c>
      <c r="AK32" s="2" t="s">
        <v>346</v>
      </c>
      <c r="AL32" s="2" t="s">
        <v>142</v>
      </c>
      <c r="AM32" s="2" t="s">
        <v>73</v>
      </c>
    </row>
    <row r="33" spans="1:39" ht="409.6" x14ac:dyDescent="0.2">
      <c r="A33" s="1">
        <v>45862.413483796299</v>
      </c>
      <c r="B33" s="1">
        <v>45862.428310185183</v>
      </c>
      <c r="C33" s="2" t="s">
        <v>42</v>
      </c>
      <c r="D33" s="2" t="s">
        <v>347</v>
      </c>
      <c r="E33">
        <v>100</v>
      </c>
      <c r="F33">
        <v>1280</v>
      </c>
      <c r="G33" s="2" t="s">
        <v>68</v>
      </c>
      <c r="H33" s="1">
        <v>45862.428315509256</v>
      </c>
      <c r="I33" s="2" t="s">
        <v>348</v>
      </c>
      <c r="J33" s="2" t="s">
        <v>67</v>
      </c>
      <c r="K33" s="2" t="s">
        <v>67</v>
      </c>
      <c r="L33" s="2" t="s">
        <v>67</v>
      </c>
      <c r="M33" s="2" t="s">
        <v>67</v>
      </c>
      <c r="N33">
        <v>38.636400000000002</v>
      </c>
      <c r="O33">
        <v>-90.198499999999996</v>
      </c>
      <c r="P33" s="2" t="s">
        <v>78</v>
      </c>
      <c r="Q33" s="2" t="s">
        <v>69</v>
      </c>
      <c r="R33" s="2" t="s">
        <v>312</v>
      </c>
      <c r="S33" s="2" t="s">
        <v>313</v>
      </c>
      <c r="T33" s="2" t="s">
        <v>314</v>
      </c>
      <c r="U33" s="2" t="s">
        <v>315</v>
      </c>
      <c r="V33" s="2" t="s">
        <v>316</v>
      </c>
      <c r="W33" s="2" t="s">
        <v>317</v>
      </c>
      <c r="X33" s="2" t="s">
        <v>70</v>
      </c>
      <c r="Y33" s="2" t="s">
        <v>71</v>
      </c>
      <c r="Z33" s="2" t="s">
        <v>67</v>
      </c>
      <c r="AA33" s="2" t="s">
        <v>67</v>
      </c>
      <c r="AB33" s="2" t="s">
        <v>349</v>
      </c>
      <c r="AC33" s="2" t="s">
        <v>350</v>
      </c>
      <c r="AD33" s="2" t="s">
        <v>351</v>
      </c>
      <c r="AE33" s="2" t="s">
        <v>67</v>
      </c>
      <c r="AF33" s="2" t="s">
        <v>67</v>
      </c>
      <c r="AG33" s="2" t="s">
        <v>67</v>
      </c>
      <c r="AH33" s="2" t="s">
        <v>67</v>
      </c>
      <c r="AI33" s="2" t="s">
        <v>67</v>
      </c>
      <c r="AJ33" s="2" t="s">
        <v>67</v>
      </c>
      <c r="AK33" s="2" t="s">
        <v>346</v>
      </c>
      <c r="AL33" s="2" t="s">
        <v>142</v>
      </c>
      <c r="AM33" s="2" t="s">
        <v>73</v>
      </c>
    </row>
    <row r="34" spans="1:39" ht="409.6" x14ac:dyDescent="0.2">
      <c r="A34" s="1">
        <v>45862.458460648151</v>
      </c>
      <c r="B34" s="1">
        <v>45862.465046296296</v>
      </c>
      <c r="C34" s="2" t="s">
        <v>42</v>
      </c>
      <c r="D34" s="2" t="s">
        <v>352</v>
      </c>
      <c r="E34">
        <v>100</v>
      </c>
      <c r="F34">
        <v>568</v>
      </c>
      <c r="G34" s="2" t="s">
        <v>68</v>
      </c>
      <c r="H34" s="1">
        <v>45862.465051944448</v>
      </c>
      <c r="I34" s="2" t="s">
        <v>353</v>
      </c>
      <c r="J34" s="2" t="s">
        <v>67</v>
      </c>
      <c r="K34" s="2" t="s">
        <v>67</v>
      </c>
      <c r="L34" s="2" t="s">
        <v>67</v>
      </c>
      <c r="M34" s="2" t="s">
        <v>67</v>
      </c>
      <c r="N34">
        <v>43.072499999999998</v>
      </c>
      <c r="O34">
        <v>-89.449100000000001</v>
      </c>
      <c r="P34" s="2" t="s">
        <v>78</v>
      </c>
      <c r="Q34" s="2" t="s">
        <v>69</v>
      </c>
      <c r="R34" s="2" t="s">
        <v>354</v>
      </c>
      <c r="S34" s="2" t="s">
        <v>115</v>
      </c>
      <c r="T34" s="2" t="s">
        <v>116</v>
      </c>
      <c r="U34" s="2" t="s">
        <v>355</v>
      </c>
      <c r="V34" s="2" t="s">
        <v>118</v>
      </c>
      <c r="W34" s="2" t="s">
        <v>356</v>
      </c>
      <c r="X34" s="2" t="s">
        <v>70</v>
      </c>
      <c r="Y34" s="2" t="s">
        <v>71</v>
      </c>
      <c r="Z34" s="2" t="s">
        <v>67</v>
      </c>
      <c r="AA34" s="2" t="s">
        <v>67</v>
      </c>
      <c r="AB34" s="2" t="s">
        <v>357</v>
      </c>
      <c r="AC34" s="2" t="s">
        <v>358</v>
      </c>
      <c r="AD34" s="2" t="s">
        <v>359</v>
      </c>
      <c r="AE34" s="2" t="s">
        <v>67</v>
      </c>
      <c r="AF34" s="2" t="s">
        <v>67</v>
      </c>
      <c r="AG34" s="2" t="s">
        <v>67</v>
      </c>
      <c r="AH34" s="2" t="s">
        <v>67</v>
      </c>
      <c r="AI34" s="2" t="s">
        <v>67</v>
      </c>
      <c r="AJ34" s="2" t="s">
        <v>67</v>
      </c>
      <c r="AK34" s="2" t="s">
        <v>346</v>
      </c>
      <c r="AL34" s="2" t="s">
        <v>142</v>
      </c>
      <c r="AM34" s="2" t="s">
        <v>73</v>
      </c>
    </row>
    <row r="35" spans="1:39" ht="409.6" x14ac:dyDescent="0.2">
      <c r="A35" s="1">
        <v>45862.475300925929</v>
      </c>
      <c r="B35" s="1">
        <v>45862.485185185185</v>
      </c>
      <c r="C35" s="2" t="s">
        <v>42</v>
      </c>
      <c r="D35" s="2" t="s">
        <v>185</v>
      </c>
      <c r="E35">
        <v>100</v>
      </c>
      <c r="F35">
        <v>853</v>
      </c>
      <c r="G35" s="2" t="s">
        <v>68</v>
      </c>
      <c r="H35" s="1">
        <v>45862.485193842593</v>
      </c>
      <c r="I35" s="2" t="s">
        <v>360</v>
      </c>
      <c r="J35" s="2" t="s">
        <v>67</v>
      </c>
      <c r="K35" s="2" t="s">
        <v>67</v>
      </c>
      <c r="L35" s="2" t="s">
        <v>67</v>
      </c>
      <c r="M35" s="2" t="s">
        <v>67</v>
      </c>
      <c r="N35">
        <v>43.072499999999998</v>
      </c>
      <c r="O35">
        <v>-89.449100000000001</v>
      </c>
      <c r="P35" s="2" t="s">
        <v>78</v>
      </c>
      <c r="Q35" s="2" t="s">
        <v>69</v>
      </c>
      <c r="R35" s="2" t="s">
        <v>187</v>
      </c>
      <c r="S35" s="2" t="s">
        <v>188</v>
      </c>
      <c r="T35" s="2" t="s">
        <v>189</v>
      </c>
      <c r="U35" s="2" t="s">
        <v>81</v>
      </c>
      <c r="V35" s="2" t="s">
        <v>82</v>
      </c>
      <c r="W35" s="2" t="s">
        <v>191</v>
      </c>
      <c r="X35" s="2" t="s">
        <v>70</v>
      </c>
      <c r="Y35" s="2" t="s">
        <v>74</v>
      </c>
      <c r="Z35" s="2" t="s">
        <v>67</v>
      </c>
      <c r="AA35" s="2" t="s">
        <v>67</v>
      </c>
      <c r="AB35" s="2" t="s">
        <v>361</v>
      </c>
      <c r="AC35" s="2" t="s">
        <v>362</v>
      </c>
      <c r="AD35" s="2" t="s">
        <v>363</v>
      </c>
      <c r="AE35" s="2" t="s">
        <v>67</v>
      </c>
      <c r="AF35" s="2" t="s">
        <v>67</v>
      </c>
      <c r="AG35" s="2" t="s">
        <v>67</v>
      </c>
      <c r="AH35" s="2" t="s">
        <v>364</v>
      </c>
      <c r="AI35" s="2" t="s">
        <v>365</v>
      </c>
      <c r="AJ35" s="2" t="s">
        <v>67</v>
      </c>
      <c r="AK35" s="2" t="s">
        <v>346</v>
      </c>
      <c r="AL35" s="2" t="s">
        <v>142</v>
      </c>
      <c r="AM35" s="2" t="s">
        <v>73</v>
      </c>
    </row>
    <row r="36" spans="1:39" ht="409.6" x14ac:dyDescent="0.2">
      <c r="A36" s="1">
        <v>45862.516469907408</v>
      </c>
      <c r="B36" s="1">
        <v>45862.53702546296</v>
      </c>
      <c r="C36" s="2" t="s">
        <v>42</v>
      </c>
      <c r="D36" s="2" t="s">
        <v>366</v>
      </c>
      <c r="E36">
        <v>100</v>
      </c>
      <c r="F36">
        <v>1775</v>
      </c>
      <c r="G36" s="2" t="s">
        <v>68</v>
      </c>
      <c r="H36" s="1">
        <v>45862.537030694446</v>
      </c>
      <c r="I36" s="2" t="s">
        <v>367</v>
      </c>
      <c r="J36" s="2" t="s">
        <v>67</v>
      </c>
      <c r="K36" s="2" t="s">
        <v>67</v>
      </c>
      <c r="L36" s="2" t="s">
        <v>67</v>
      </c>
      <c r="M36" s="2" t="s">
        <v>67</v>
      </c>
      <c r="N36">
        <v>43.082900000000002</v>
      </c>
      <c r="O36">
        <v>-87.977699999999999</v>
      </c>
      <c r="P36" s="2" t="s">
        <v>78</v>
      </c>
      <c r="Q36" s="2" t="s">
        <v>69</v>
      </c>
      <c r="R36" s="2" t="s">
        <v>368</v>
      </c>
      <c r="S36" s="2" t="s">
        <v>369</v>
      </c>
      <c r="T36" s="2" t="s">
        <v>370</v>
      </c>
      <c r="U36" s="2" t="s">
        <v>90</v>
      </c>
      <c r="V36" s="2" t="s">
        <v>82</v>
      </c>
      <c r="W36" s="2" t="s">
        <v>371</v>
      </c>
      <c r="X36" s="2" t="s">
        <v>70</v>
      </c>
      <c r="Y36" s="2" t="s">
        <v>74</v>
      </c>
      <c r="Z36" s="2" t="s">
        <v>67</v>
      </c>
      <c r="AA36" s="2" t="s">
        <v>67</v>
      </c>
      <c r="AB36" s="2" t="s">
        <v>372</v>
      </c>
      <c r="AC36" s="2" t="s">
        <v>373</v>
      </c>
      <c r="AD36" s="2" t="s">
        <v>374</v>
      </c>
      <c r="AE36" s="2" t="s">
        <v>67</v>
      </c>
      <c r="AF36" s="2" t="s">
        <v>67</v>
      </c>
      <c r="AG36" s="2" t="s">
        <v>67</v>
      </c>
      <c r="AH36" s="2" t="s">
        <v>375</v>
      </c>
      <c r="AI36" s="2" t="s">
        <v>376</v>
      </c>
      <c r="AJ36" s="2" t="s">
        <v>67</v>
      </c>
      <c r="AK36" s="2" t="s">
        <v>346</v>
      </c>
      <c r="AL36" s="2" t="s">
        <v>142</v>
      </c>
      <c r="AM36" s="2" t="s">
        <v>73</v>
      </c>
    </row>
    <row r="37" spans="1:39" ht="409.6" x14ac:dyDescent="0.2">
      <c r="A37" s="1">
        <v>45862.540625000001</v>
      </c>
      <c r="B37" s="1">
        <v>45862.545081018521</v>
      </c>
      <c r="C37" s="2" t="s">
        <v>42</v>
      </c>
      <c r="D37" s="2" t="s">
        <v>377</v>
      </c>
      <c r="E37">
        <v>100</v>
      </c>
      <c r="F37">
        <v>384</v>
      </c>
      <c r="G37" s="2" t="s">
        <v>68</v>
      </c>
      <c r="H37" s="1">
        <v>45862.545096689813</v>
      </c>
      <c r="I37" s="2" t="s">
        <v>378</v>
      </c>
      <c r="J37" s="2" t="s">
        <v>67</v>
      </c>
      <c r="K37" s="2" t="s">
        <v>67</v>
      </c>
      <c r="L37" s="2" t="s">
        <v>67</v>
      </c>
      <c r="M37" s="2" t="s">
        <v>67</v>
      </c>
      <c r="N37">
        <v>43.072499999999998</v>
      </c>
      <c r="O37">
        <v>-89.449100000000001</v>
      </c>
      <c r="P37" s="2" t="s">
        <v>78</v>
      </c>
      <c r="Q37" s="2" t="s">
        <v>69</v>
      </c>
      <c r="R37" s="2" t="s">
        <v>379</v>
      </c>
      <c r="S37" s="2" t="s">
        <v>380</v>
      </c>
      <c r="T37" s="2" t="s">
        <v>381</v>
      </c>
      <c r="U37" s="2" t="s">
        <v>81</v>
      </c>
      <c r="V37" s="2" t="s">
        <v>126</v>
      </c>
      <c r="W37" s="2" t="s">
        <v>382</v>
      </c>
      <c r="X37" s="2" t="s">
        <v>383</v>
      </c>
      <c r="Y37" s="2" t="s">
        <v>74</v>
      </c>
      <c r="Z37" s="2" t="s">
        <v>67</v>
      </c>
      <c r="AA37" s="2" t="s">
        <v>67</v>
      </c>
      <c r="AB37" s="2" t="s">
        <v>67</v>
      </c>
      <c r="AC37" s="2" t="s">
        <v>67</v>
      </c>
      <c r="AD37" s="2" t="s">
        <v>67</v>
      </c>
      <c r="AE37" s="2" t="s">
        <v>384</v>
      </c>
      <c r="AF37" s="2" t="s">
        <v>385</v>
      </c>
      <c r="AG37" s="2" t="s">
        <v>386</v>
      </c>
      <c r="AH37" s="2" t="s">
        <v>387</v>
      </c>
      <c r="AI37" s="2" t="s">
        <v>388</v>
      </c>
      <c r="AJ37" s="2" t="s">
        <v>67</v>
      </c>
      <c r="AK37" s="2" t="s">
        <v>346</v>
      </c>
      <c r="AL37" s="2" t="s">
        <v>142</v>
      </c>
      <c r="AM37" s="2" t="s">
        <v>73</v>
      </c>
    </row>
    <row r="38" spans="1:39" ht="409.6" x14ac:dyDescent="0.2">
      <c r="A38" s="1">
        <v>45862.549212962964</v>
      </c>
      <c r="B38" s="1">
        <v>45862.572777777779</v>
      </c>
      <c r="C38" s="2" t="s">
        <v>42</v>
      </c>
      <c r="D38" s="2" t="s">
        <v>389</v>
      </c>
      <c r="E38">
        <v>100</v>
      </c>
      <c r="F38">
        <v>2035</v>
      </c>
      <c r="G38" s="2" t="s">
        <v>68</v>
      </c>
      <c r="H38" s="1">
        <v>45862.572785902776</v>
      </c>
      <c r="I38" s="2" t="s">
        <v>390</v>
      </c>
      <c r="J38" s="2" t="s">
        <v>67</v>
      </c>
      <c r="K38" s="2" t="s">
        <v>67</v>
      </c>
      <c r="L38" s="2" t="s">
        <v>67</v>
      </c>
      <c r="M38" s="2" t="s">
        <v>67</v>
      </c>
      <c r="N38">
        <v>43.072499999999998</v>
      </c>
      <c r="O38">
        <v>-89.449100000000001</v>
      </c>
      <c r="P38" s="2" t="s">
        <v>78</v>
      </c>
      <c r="Q38" s="2" t="s">
        <v>69</v>
      </c>
      <c r="R38" s="2" t="s">
        <v>391</v>
      </c>
      <c r="S38" s="2" t="s">
        <v>392</v>
      </c>
      <c r="T38" s="2" t="s">
        <v>393</v>
      </c>
      <c r="U38" s="2" t="s">
        <v>67</v>
      </c>
      <c r="V38" s="2" t="s">
        <v>126</v>
      </c>
      <c r="W38" s="2" t="s">
        <v>394</v>
      </c>
      <c r="X38" s="2" t="s">
        <v>70</v>
      </c>
      <c r="Y38" s="2" t="s">
        <v>74</v>
      </c>
      <c r="Z38" s="2" t="s">
        <v>67</v>
      </c>
      <c r="AA38" s="2" t="s">
        <v>67</v>
      </c>
      <c r="AB38" s="2" t="s">
        <v>395</v>
      </c>
      <c r="AC38" s="2" t="s">
        <v>396</v>
      </c>
      <c r="AD38" s="2" t="s">
        <v>397</v>
      </c>
      <c r="AE38" s="2" t="s">
        <v>67</v>
      </c>
      <c r="AF38" s="2" t="s">
        <v>67</v>
      </c>
      <c r="AG38" s="2" t="s">
        <v>67</v>
      </c>
      <c r="AH38" s="2" t="s">
        <v>398</v>
      </c>
      <c r="AI38" s="2" t="s">
        <v>399</v>
      </c>
      <c r="AJ38" s="2" t="s">
        <v>67</v>
      </c>
      <c r="AK38" s="2" t="s">
        <v>346</v>
      </c>
      <c r="AL38" s="2" t="s">
        <v>142</v>
      </c>
      <c r="AM38" s="2" t="s">
        <v>73</v>
      </c>
    </row>
    <row r="39" spans="1:39" ht="409.6" x14ac:dyDescent="0.2">
      <c r="A39" s="1">
        <v>45862.65148148148</v>
      </c>
      <c r="B39" s="1">
        <v>45862.655532407407</v>
      </c>
      <c r="C39" s="2" t="s">
        <v>42</v>
      </c>
      <c r="D39" s="2" t="s">
        <v>400</v>
      </c>
      <c r="E39">
        <v>100</v>
      </c>
      <c r="F39">
        <v>350</v>
      </c>
      <c r="G39" s="2" t="s">
        <v>68</v>
      </c>
      <c r="H39" s="1">
        <v>45862.655546284725</v>
      </c>
      <c r="I39" s="2" t="s">
        <v>401</v>
      </c>
      <c r="J39" s="2" t="s">
        <v>67</v>
      </c>
      <c r="K39" s="2" t="s">
        <v>67</v>
      </c>
      <c r="L39" s="2" t="s">
        <v>67</v>
      </c>
      <c r="M39" s="2" t="s">
        <v>67</v>
      </c>
      <c r="N39">
        <v>43.072499999999998</v>
      </c>
      <c r="O39">
        <v>-89.449100000000001</v>
      </c>
      <c r="P39" s="2" t="s">
        <v>78</v>
      </c>
      <c r="Q39" s="2" t="s">
        <v>69</v>
      </c>
      <c r="R39" s="2" t="s">
        <v>402</v>
      </c>
      <c r="S39" s="2" t="s">
        <v>403</v>
      </c>
      <c r="T39" s="2" t="s">
        <v>404</v>
      </c>
      <c r="U39" s="2" t="s">
        <v>160</v>
      </c>
      <c r="V39" s="2" t="s">
        <v>126</v>
      </c>
      <c r="W39" s="2" t="s">
        <v>405</v>
      </c>
      <c r="X39" s="2" t="s">
        <v>70</v>
      </c>
      <c r="Y39" s="2" t="s">
        <v>71</v>
      </c>
      <c r="Z39" s="2" t="s">
        <v>67</v>
      </c>
      <c r="AA39" s="2" t="s">
        <v>67</v>
      </c>
      <c r="AB39" s="2" t="s">
        <v>406</v>
      </c>
      <c r="AC39" s="2" t="s">
        <v>407</v>
      </c>
      <c r="AD39" s="2" t="s">
        <v>408</v>
      </c>
      <c r="AE39" s="2" t="s">
        <v>67</v>
      </c>
      <c r="AF39" s="2" t="s">
        <v>67</v>
      </c>
      <c r="AG39" s="2" t="s">
        <v>67</v>
      </c>
      <c r="AH39" s="2" t="s">
        <v>67</v>
      </c>
      <c r="AI39" s="2" t="s">
        <v>67</v>
      </c>
      <c r="AJ39" s="2" t="s">
        <v>67</v>
      </c>
      <c r="AK39" s="2" t="s">
        <v>346</v>
      </c>
      <c r="AL39" s="2" t="s">
        <v>142</v>
      </c>
      <c r="AM39" s="2" t="s">
        <v>73</v>
      </c>
    </row>
    <row r="40" spans="1:39" ht="409.6" x14ac:dyDescent="0.2">
      <c r="A40" s="1">
        <v>45862.778981481482</v>
      </c>
      <c r="B40" s="1">
        <v>45862.787870370368</v>
      </c>
      <c r="C40" s="2" t="s">
        <v>42</v>
      </c>
      <c r="D40" s="2" t="s">
        <v>409</v>
      </c>
      <c r="E40">
        <v>100</v>
      </c>
      <c r="F40">
        <v>768</v>
      </c>
      <c r="G40" s="2" t="s">
        <v>68</v>
      </c>
      <c r="H40" s="1">
        <v>45862.787886122685</v>
      </c>
      <c r="I40" s="2" t="s">
        <v>410</v>
      </c>
      <c r="J40" s="2" t="s">
        <v>67</v>
      </c>
      <c r="K40" s="2" t="s">
        <v>67</v>
      </c>
      <c r="L40" s="2" t="s">
        <v>67</v>
      </c>
      <c r="M40" s="2" t="s">
        <v>67</v>
      </c>
      <c r="N40">
        <v>43.0334</v>
      </c>
      <c r="O40">
        <v>-89.4512</v>
      </c>
      <c r="P40" s="2" t="s">
        <v>78</v>
      </c>
      <c r="Q40" s="2" t="s">
        <v>69</v>
      </c>
      <c r="R40" s="2" t="s">
        <v>411</v>
      </c>
      <c r="S40" s="2" t="s">
        <v>88</v>
      </c>
      <c r="T40" s="2" t="s">
        <v>412</v>
      </c>
      <c r="U40" s="2" t="s">
        <v>413</v>
      </c>
      <c r="V40" s="2" t="s">
        <v>126</v>
      </c>
      <c r="W40" s="2" t="s">
        <v>414</v>
      </c>
      <c r="X40" s="2" t="s">
        <v>70</v>
      </c>
      <c r="Y40" s="2" t="s">
        <v>71</v>
      </c>
      <c r="Z40" s="2" t="s">
        <v>67</v>
      </c>
      <c r="AA40" s="2" t="s">
        <v>67</v>
      </c>
      <c r="AB40" s="2" t="s">
        <v>415</v>
      </c>
      <c r="AC40" s="2" t="s">
        <v>416</v>
      </c>
      <c r="AD40" s="2" t="s">
        <v>417</v>
      </c>
      <c r="AE40" s="2" t="s">
        <v>67</v>
      </c>
      <c r="AF40" s="2" t="s">
        <v>67</v>
      </c>
      <c r="AG40" s="2" t="s">
        <v>67</v>
      </c>
      <c r="AH40" s="2" t="s">
        <v>67</v>
      </c>
      <c r="AI40" s="2" t="s">
        <v>67</v>
      </c>
      <c r="AJ40" s="2" t="s">
        <v>67</v>
      </c>
      <c r="AK40" s="2" t="s">
        <v>346</v>
      </c>
      <c r="AL40" s="2" t="s">
        <v>142</v>
      </c>
      <c r="AM40" s="2" t="s">
        <v>73</v>
      </c>
    </row>
    <row r="41" spans="1:39" ht="409.6" x14ac:dyDescent="0.2">
      <c r="A41" s="1">
        <v>45862.853275462963</v>
      </c>
      <c r="B41" s="1">
        <v>45862.856932870367</v>
      </c>
      <c r="C41" s="2" t="s">
        <v>42</v>
      </c>
      <c r="D41" s="2" t="s">
        <v>275</v>
      </c>
      <c r="E41">
        <v>100</v>
      </c>
      <c r="F41">
        <v>316</v>
      </c>
      <c r="G41" s="2" t="s">
        <v>68</v>
      </c>
      <c r="H41" s="1">
        <v>45862.856945567131</v>
      </c>
      <c r="I41" s="2" t="s">
        <v>418</v>
      </c>
      <c r="J41" s="2" t="s">
        <v>67</v>
      </c>
      <c r="K41" s="2" t="s">
        <v>67</v>
      </c>
      <c r="L41" s="2" t="s">
        <v>67</v>
      </c>
      <c r="M41" s="2" t="s">
        <v>67</v>
      </c>
      <c r="N41">
        <v>43.0334</v>
      </c>
      <c r="O41">
        <v>-89.4512</v>
      </c>
      <c r="P41" s="2" t="s">
        <v>78</v>
      </c>
      <c r="Q41" s="2" t="s">
        <v>69</v>
      </c>
      <c r="R41" s="2" t="s">
        <v>419</v>
      </c>
      <c r="S41" s="2" t="s">
        <v>420</v>
      </c>
      <c r="T41" s="2" t="s">
        <v>421</v>
      </c>
      <c r="U41" s="2" t="s">
        <v>67</v>
      </c>
      <c r="V41" s="2" t="s">
        <v>82</v>
      </c>
      <c r="W41" s="2" t="s">
        <v>422</v>
      </c>
      <c r="X41" s="2" t="s">
        <v>70</v>
      </c>
      <c r="Y41" s="2" t="s">
        <v>71</v>
      </c>
      <c r="Z41" s="2" t="s">
        <v>67</v>
      </c>
      <c r="AA41" s="2" t="s">
        <v>67</v>
      </c>
      <c r="AB41" s="2" t="s">
        <v>423</v>
      </c>
      <c r="AC41" s="2" t="s">
        <v>424</v>
      </c>
      <c r="AD41" s="2" t="s">
        <v>425</v>
      </c>
      <c r="AE41" s="2" t="s">
        <v>67</v>
      </c>
      <c r="AF41" s="2" t="s">
        <v>67</v>
      </c>
      <c r="AG41" s="2" t="s">
        <v>67</v>
      </c>
      <c r="AH41" s="2" t="s">
        <v>67</v>
      </c>
      <c r="AI41" s="2" t="s">
        <v>67</v>
      </c>
      <c r="AJ41" s="2" t="s">
        <v>67</v>
      </c>
      <c r="AK41" s="2" t="s">
        <v>346</v>
      </c>
      <c r="AL41" s="2" t="s">
        <v>142</v>
      </c>
      <c r="AM41" s="2" t="s">
        <v>73</v>
      </c>
    </row>
    <row r="42" spans="1:39" ht="409.6" x14ac:dyDescent="0.2">
      <c r="A42" s="1">
        <v>45862.90148148148</v>
      </c>
      <c r="B42" s="1">
        <v>45862.906458333331</v>
      </c>
      <c r="C42" s="2" t="s">
        <v>42</v>
      </c>
      <c r="D42" s="2" t="s">
        <v>426</v>
      </c>
      <c r="E42">
        <v>100</v>
      </c>
      <c r="F42">
        <v>430</v>
      </c>
      <c r="G42" s="2" t="s">
        <v>68</v>
      </c>
      <c r="H42" s="1">
        <v>45862.906469791669</v>
      </c>
      <c r="I42" s="2" t="s">
        <v>427</v>
      </c>
      <c r="J42" s="2" t="s">
        <v>67</v>
      </c>
      <c r="K42" s="2" t="s">
        <v>67</v>
      </c>
      <c r="L42" s="2" t="s">
        <v>67</v>
      </c>
      <c r="M42" s="2" t="s">
        <v>67</v>
      </c>
      <c r="N42">
        <v>43.0334</v>
      </c>
      <c r="O42">
        <v>-89.4512</v>
      </c>
      <c r="P42" s="2" t="s">
        <v>78</v>
      </c>
      <c r="Q42" s="2" t="s">
        <v>69</v>
      </c>
      <c r="R42" s="2" t="s">
        <v>428</v>
      </c>
      <c r="S42" s="2" t="s">
        <v>429</v>
      </c>
      <c r="T42" s="2" t="s">
        <v>430</v>
      </c>
      <c r="U42" s="2" t="s">
        <v>431</v>
      </c>
      <c r="V42" s="2" t="s">
        <v>82</v>
      </c>
      <c r="W42" s="2" t="s">
        <v>432</v>
      </c>
      <c r="X42" s="2" t="s">
        <v>70</v>
      </c>
      <c r="Y42" s="2" t="s">
        <v>71</v>
      </c>
      <c r="Z42" s="2" t="s">
        <v>67</v>
      </c>
      <c r="AA42" s="2" t="s">
        <v>67</v>
      </c>
      <c r="AB42" s="2" t="s">
        <v>433</v>
      </c>
      <c r="AC42" s="2" t="s">
        <v>434</v>
      </c>
      <c r="AD42" s="2" t="s">
        <v>435</v>
      </c>
      <c r="AE42" s="2" t="s">
        <v>67</v>
      </c>
      <c r="AF42" s="2" t="s">
        <v>67</v>
      </c>
      <c r="AG42" s="2" t="s">
        <v>67</v>
      </c>
      <c r="AH42" s="2" t="s">
        <v>67</v>
      </c>
      <c r="AI42" s="2" t="s">
        <v>67</v>
      </c>
      <c r="AJ42" s="2" t="s">
        <v>67</v>
      </c>
      <c r="AK42" s="2" t="s">
        <v>346</v>
      </c>
      <c r="AL42" s="2" t="s">
        <v>142</v>
      </c>
      <c r="AM42" s="2" t="s">
        <v>73</v>
      </c>
    </row>
    <row r="43" spans="1:39" ht="409.6" x14ac:dyDescent="0.2">
      <c r="A43" s="1">
        <v>45862.894421296296</v>
      </c>
      <c r="B43" s="1">
        <v>45862.908449074072</v>
      </c>
      <c r="C43" s="2" t="s">
        <v>42</v>
      </c>
      <c r="D43" s="2" t="s">
        <v>436</v>
      </c>
      <c r="E43">
        <v>100</v>
      </c>
      <c r="F43">
        <v>1211</v>
      </c>
      <c r="G43" s="2" t="s">
        <v>68</v>
      </c>
      <c r="H43" s="1">
        <v>45862.908460868057</v>
      </c>
      <c r="I43" s="2" t="s">
        <v>437</v>
      </c>
      <c r="J43" s="2" t="s">
        <v>67</v>
      </c>
      <c r="K43" s="2" t="s">
        <v>67</v>
      </c>
      <c r="L43" s="2" t="s">
        <v>67</v>
      </c>
      <c r="M43" s="2" t="s">
        <v>67</v>
      </c>
      <c r="N43">
        <v>43.072499999999998</v>
      </c>
      <c r="O43">
        <v>-89.449100000000001</v>
      </c>
      <c r="P43" s="2" t="s">
        <v>78</v>
      </c>
      <c r="Q43" s="2" t="s">
        <v>69</v>
      </c>
      <c r="R43" s="2" t="s">
        <v>438</v>
      </c>
      <c r="S43" s="2" t="s">
        <v>439</v>
      </c>
      <c r="T43" s="2" t="s">
        <v>440</v>
      </c>
      <c r="U43" s="2" t="s">
        <v>90</v>
      </c>
      <c r="V43" s="2" t="s">
        <v>316</v>
      </c>
      <c r="W43" s="2" t="s">
        <v>441</v>
      </c>
      <c r="X43" s="2" t="s">
        <v>70</v>
      </c>
      <c r="Y43" s="2" t="s">
        <v>71</v>
      </c>
      <c r="Z43" s="2" t="s">
        <v>67</v>
      </c>
      <c r="AA43" s="2" t="s">
        <v>67</v>
      </c>
      <c r="AB43" s="2" t="s">
        <v>442</v>
      </c>
      <c r="AC43" s="2" t="s">
        <v>443</v>
      </c>
      <c r="AD43" s="2" t="s">
        <v>444</v>
      </c>
      <c r="AE43" s="2" t="s">
        <v>67</v>
      </c>
      <c r="AF43" s="2" t="s">
        <v>67</v>
      </c>
      <c r="AG43" s="2" t="s">
        <v>67</v>
      </c>
      <c r="AH43" s="2" t="s">
        <v>67</v>
      </c>
      <c r="AI43" s="2" t="s">
        <v>67</v>
      </c>
      <c r="AJ43" s="2" t="s">
        <v>67</v>
      </c>
      <c r="AK43" s="2" t="s">
        <v>346</v>
      </c>
      <c r="AL43" s="2" t="s">
        <v>142</v>
      </c>
      <c r="AM43" s="2" t="s">
        <v>73</v>
      </c>
    </row>
    <row r="44" spans="1:39" ht="409.6" x14ac:dyDescent="0.2">
      <c r="A44" s="1">
        <v>45863.024178240739</v>
      </c>
      <c r="B44" s="1">
        <v>45863.026516203703</v>
      </c>
      <c r="C44" s="2" t="s">
        <v>42</v>
      </c>
      <c r="D44" s="2" t="s">
        <v>445</v>
      </c>
      <c r="E44">
        <v>100</v>
      </c>
      <c r="F44">
        <v>201</v>
      </c>
      <c r="G44" s="2" t="s">
        <v>68</v>
      </c>
      <c r="H44" s="1">
        <v>45863.026521874999</v>
      </c>
      <c r="I44" s="2" t="s">
        <v>446</v>
      </c>
      <c r="J44" s="2" t="s">
        <v>67</v>
      </c>
      <c r="K44" s="2" t="s">
        <v>67</v>
      </c>
      <c r="L44" s="2" t="s">
        <v>67</v>
      </c>
      <c r="M44" s="2" t="s">
        <v>67</v>
      </c>
      <c r="N44">
        <v>37.750999999999998</v>
      </c>
      <c r="O44">
        <v>-97.822000000000003</v>
      </c>
      <c r="P44" s="2" t="s">
        <v>78</v>
      </c>
      <c r="Q44" s="2" t="s">
        <v>69</v>
      </c>
      <c r="R44" s="2" t="s">
        <v>447</v>
      </c>
      <c r="S44" s="2" t="s">
        <v>448</v>
      </c>
      <c r="T44" s="2" t="s">
        <v>449</v>
      </c>
      <c r="U44" s="2" t="s">
        <v>67</v>
      </c>
      <c r="V44" s="2" t="s">
        <v>450</v>
      </c>
      <c r="W44" s="2" t="s">
        <v>451</v>
      </c>
      <c r="X44" s="2" t="s">
        <v>70</v>
      </c>
      <c r="Y44" s="2" t="s">
        <v>71</v>
      </c>
      <c r="Z44" s="2" t="s">
        <v>67</v>
      </c>
      <c r="AA44" s="2" t="s">
        <v>67</v>
      </c>
      <c r="AB44" s="2" t="s">
        <v>452</v>
      </c>
      <c r="AC44" s="2" t="s">
        <v>453</v>
      </c>
      <c r="AD44" s="2" t="s">
        <v>454</v>
      </c>
      <c r="AE44" s="2" t="s">
        <v>67</v>
      </c>
      <c r="AF44" s="2" t="s">
        <v>67</v>
      </c>
      <c r="AG44" s="2" t="s">
        <v>67</v>
      </c>
      <c r="AH44" s="2" t="s">
        <v>67</v>
      </c>
      <c r="AI44" s="2" t="s">
        <v>67</v>
      </c>
      <c r="AJ44" s="2" t="s">
        <v>67</v>
      </c>
      <c r="AK44" s="2" t="s">
        <v>455</v>
      </c>
      <c r="AL44" s="2" t="s">
        <v>142</v>
      </c>
      <c r="AM44" s="2" t="s">
        <v>73</v>
      </c>
    </row>
    <row r="45" spans="1:39" ht="409.6" x14ac:dyDescent="0.2">
      <c r="A45" s="1">
        <v>45863.236215277779</v>
      </c>
      <c r="B45" s="1">
        <v>45863.247789351852</v>
      </c>
      <c r="C45" s="2" t="s">
        <v>42</v>
      </c>
      <c r="D45" s="2" t="s">
        <v>456</v>
      </c>
      <c r="E45">
        <v>100</v>
      </c>
      <c r="F45">
        <v>1000</v>
      </c>
      <c r="G45" s="2" t="s">
        <v>68</v>
      </c>
      <c r="H45" s="1">
        <v>45863.24780222222</v>
      </c>
      <c r="I45" s="2" t="s">
        <v>457</v>
      </c>
      <c r="J45" s="2" t="s">
        <v>67</v>
      </c>
      <c r="K45" s="2" t="s">
        <v>67</v>
      </c>
      <c r="L45" s="2" t="s">
        <v>67</v>
      </c>
      <c r="M45" s="2" t="s">
        <v>67</v>
      </c>
      <c r="N45">
        <v>43.0334</v>
      </c>
      <c r="O45">
        <v>-89.4512</v>
      </c>
      <c r="P45" s="2" t="s">
        <v>78</v>
      </c>
      <c r="Q45" s="2" t="s">
        <v>69</v>
      </c>
      <c r="R45" s="2" t="s">
        <v>299</v>
      </c>
      <c r="S45" s="2" t="s">
        <v>300</v>
      </c>
      <c r="T45" s="2" t="s">
        <v>307</v>
      </c>
      <c r="U45" s="2" t="s">
        <v>302</v>
      </c>
      <c r="V45" s="2" t="s">
        <v>303</v>
      </c>
      <c r="W45" s="2" t="s">
        <v>458</v>
      </c>
      <c r="X45" s="2" t="s">
        <v>70</v>
      </c>
      <c r="Y45" s="2" t="s">
        <v>71</v>
      </c>
      <c r="Z45" s="2" t="s">
        <v>67</v>
      </c>
      <c r="AA45" s="2" t="s">
        <v>67</v>
      </c>
      <c r="AB45" s="2" t="s">
        <v>459</v>
      </c>
      <c r="AC45" s="2" t="s">
        <v>460</v>
      </c>
      <c r="AD45" s="2" t="s">
        <v>461</v>
      </c>
      <c r="AE45" s="2" t="s">
        <v>67</v>
      </c>
      <c r="AF45" s="2" t="s">
        <v>67</v>
      </c>
      <c r="AG45" s="2" t="s">
        <v>67</v>
      </c>
      <c r="AH45" s="2" t="s">
        <v>67</v>
      </c>
      <c r="AI45" s="2" t="s">
        <v>67</v>
      </c>
      <c r="AJ45" s="2" t="s">
        <v>67</v>
      </c>
      <c r="AK45" s="2" t="s">
        <v>455</v>
      </c>
      <c r="AL45" s="2" t="s">
        <v>142</v>
      </c>
      <c r="AM45" s="2" t="s">
        <v>73</v>
      </c>
    </row>
    <row r="46" spans="1:39" ht="409.6" x14ac:dyDescent="0.2">
      <c r="A46" s="1">
        <v>45863.358530092592</v>
      </c>
      <c r="B46" s="1">
        <v>45863.36377314815</v>
      </c>
      <c r="C46" s="2" t="s">
        <v>42</v>
      </c>
      <c r="D46" s="2" t="s">
        <v>106</v>
      </c>
      <c r="E46">
        <v>100</v>
      </c>
      <c r="F46">
        <v>453</v>
      </c>
      <c r="G46" s="2" t="s">
        <v>68</v>
      </c>
      <c r="H46" s="1">
        <v>45863.363787662034</v>
      </c>
      <c r="I46" s="2" t="s">
        <v>462</v>
      </c>
      <c r="J46" s="2" t="s">
        <v>67</v>
      </c>
      <c r="K46" s="2" t="s">
        <v>67</v>
      </c>
      <c r="L46" s="2" t="s">
        <v>67</v>
      </c>
      <c r="M46" s="2" t="s">
        <v>67</v>
      </c>
      <c r="N46">
        <v>43.072499999999998</v>
      </c>
      <c r="O46">
        <v>-89.449100000000001</v>
      </c>
      <c r="P46" s="2" t="s">
        <v>78</v>
      </c>
      <c r="Q46" s="2" t="s">
        <v>69</v>
      </c>
      <c r="R46" s="2" t="s">
        <v>108</v>
      </c>
      <c r="S46" s="2" t="s">
        <v>109</v>
      </c>
      <c r="T46" s="2" t="s">
        <v>110</v>
      </c>
      <c r="U46" s="2" t="s">
        <v>333</v>
      </c>
      <c r="V46" s="2" t="s">
        <v>126</v>
      </c>
      <c r="W46" s="2" t="s">
        <v>111</v>
      </c>
      <c r="X46" s="2" t="s">
        <v>70</v>
      </c>
      <c r="Y46" s="2" t="s">
        <v>71</v>
      </c>
      <c r="Z46" s="2" t="s">
        <v>67</v>
      </c>
      <c r="AA46" s="2" t="s">
        <v>67</v>
      </c>
      <c r="AB46" s="2" t="s">
        <v>463</v>
      </c>
      <c r="AC46" s="2" t="s">
        <v>464</v>
      </c>
      <c r="AD46" s="2" t="s">
        <v>465</v>
      </c>
      <c r="AE46" s="2" t="s">
        <v>67</v>
      </c>
      <c r="AF46" s="2" t="s">
        <v>67</v>
      </c>
      <c r="AG46" s="2" t="s">
        <v>67</v>
      </c>
      <c r="AH46" s="2" t="s">
        <v>67</v>
      </c>
      <c r="AI46" s="2" t="s">
        <v>67</v>
      </c>
      <c r="AJ46" s="2" t="s">
        <v>67</v>
      </c>
      <c r="AK46" s="2" t="s">
        <v>455</v>
      </c>
      <c r="AL46" s="2" t="s">
        <v>142</v>
      </c>
      <c r="AM46" s="2" t="s">
        <v>73</v>
      </c>
    </row>
    <row r="47" spans="1:39" ht="409.6" x14ac:dyDescent="0.2">
      <c r="A47" s="1">
        <v>45863.412453703706</v>
      </c>
      <c r="B47" s="1">
        <v>45863.41611111111</v>
      </c>
      <c r="C47" s="2" t="s">
        <v>42</v>
      </c>
      <c r="D47" s="2" t="s">
        <v>466</v>
      </c>
      <c r="E47">
        <v>100</v>
      </c>
      <c r="F47">
        <v>316</v>
      </c>
      <c r="G47" s="2" t="s">
        <v>68</v>
      </c>
      <c r="H47" s="1">
        <v>45863.416120208334</v>
      </c>
      <c r="I47" s="2" t="s">
        <v>467</v>
      </c>
      <c r="J47" s="2" t="s">
        <v>67</v>
      </c>
      <c r="K47" s="2" t="s">
        <v>67</v>
      </c>
      <c r="L47" s="2" t="s">
        <v>67</v>
      </c>
      <c r="M47" s="2" t="s">
        <v>67</v>
      </c>
      <c r="N47">
        <v>43.072499999999998</v>
      </c>
      <c r="O47">
        <v>-89.449100000000001</v>
      </c>
      <c r="P47" s="2" t="s">
        <v>78</v>
      </c>
      <c r="Q47" s="2" t="s">
        <v>69</v>
      </c>
      <c r="R47" s="2" t="s">
        <v>468</v>
      </c>
      <c r="S47" s="2" t="s">
        <v>469</v>
      </c>
      <c r="T47" s="2" t="s">
        <v>470</v>
      </c>
      <c r="U47" s="2" t="s">
        <v>90</v>
      </c>
      <c r="V47" s="2" t="s">
        <v>126</v>
      </c>
      <c r="W47" s="2" t="s">
        <v>371</v>
      </c>
      <c r="X47" s="2" t="s">
        <v>70</v>
      </c>
      <c r="Y47" s="2" t="s">
        <v>74</v>
      </c>
      <c r="Z47" s="2" t="s">
        <v>67</v>
      </c>
      <c r="AA47" s="2" t="s">
        <v>67</v>
      </c>
      <c r="AB47" s="2" t="s">
        <v>471</v>
      </c>
      <c r="AC47" s="2" t="s">
        <v>472</v>
      </c>
      <c r="AD47" s="2" t="s">
        <v>473</v>
      </c>
      <c r="AE47" s="2" t="s">
        <v>67</v>
      </c>
      <c r="AF47" s="2" t="s">
        <v>67</v>
      </c>
      <c r="AG47" s="2" t="s">
        <v>67</v>
      </c>
      <c r="AH47" s="2" t="s">
        <v>474</v>
      </c>
      <c r="AI47" s="2" t="s">
        <v>475</v>
      </c>
      <c r="AJ47" s="2" t="s">
        <v>67</v>
      </c>
      <c r="AK47" s="2" t="s">
        <v>455</v>
      </c>
      <c r="AL47" s="2" t="s">
        <v>142</v>
      </c>
      <c r="AM47" s="2" t="s">
        <v>73</v>
      </c>
    </row>
    <row r="48" spans="1:39" ht="409.6" x14ac:dyDescent="0.2">
      <c r="A48" s="1">
        <v>45863.432037037041</v>
      </c>
      <c r="B48" s="1">
        <v>45863.435914351852</v>
      </c>
      <c r="C48" s="2" t="s">
        <v>42</v>
      </c>
      <c r="D48" s="2" t="s">
        <v>476</v>
      </c>
      <c r="E48">
        <v>100</v>
      </c>
      <c r="F48">
        <v>335</v>
      </c>
      <c r="G48" s="2" t="s">
        <v>68</v>
      </c>
      <c r="H48" s="1">
        <v>45863.435928865743</v>
      </c>
      <c r="I48" s="2" t="s">
        <v>477</v>
      </c>
      <c r="J48" s="2" t="s">
        <v>67</v>
      </c>
      <c r="K48" s="2" t="s">
        <v>67</v>
      </c>
      <c r="L48" s="2" t="s">
        <v>67</v>
      </c>
      <c r="M48" s="2" t="s">
        <v>67</v>
      </c>
      <c r="N48">
        <v>43.072499999999998</v>
      </c>
      <c r="O48">
        <v>-89.449100000000001</v>
      </c>
      <c r="P48" s="2" t="s">
        <v>78</v>
      </c>
      <c r="Q48" s="2" t="s">
        <v>69</v>
      </c>
      <c r="R48" s="2" t="s">
        <v>478</v>
      </c>
      <c r="S48" s="2" t="s">
        <v>479</v>
      </c>
      <c r="T48" s="2" t="s">
        <v>480</v>
      </c>
      <c r="U48" s="2" t="s">
        <v>481</v>
      </c>
      <c r="V48" s="2" t="s">
        <v>450</v>
      </c>
      <c r="W48" s="2" t="s">
        <v>482</v>
      </c>
      <c r="X48" s="2" t="s">
        <v>383</v>
      </c>
      <c r="Y48" s="2" t="s">
        <v>74</v>
      </c>
      <c r="Z48" s="2" t="s">
        <v>67</v>
      </c>
      <c r="AA48" s="2" t="s">
        <v>67</v>
      </c>
      <c r="AB48" s="2" t="s">
        <v>67</v>
      </c>
      <c r="AC48" s="2" t="s">
        <v>67</v>
      </c>
      <c r="AD48" s="2" t="s">
        <v>67</v>
      </c>
      <c r="AE48" s="2" t="s">
        <v>483</v>
      </c>
      <c r="AF48" s="2" t="s">
        <v>484</v>
      </c>
      <c r="AG48" s="2" t="s">
        <v>485</v>
      </c>
      <c r="AH48" s="2" t="s">
        <v>486</v>
      </c>
      <c r="AI48" s="2" t="s">
        <v>487</v>
      </c>
      <c r="AJ48" s="2" t="s">
        <v>67</v>
      </c>
      <c r="AK48" s="2" t="s">
        <v>455</v>
      </c>
      <c r="AL48" s="2" t="s">
        <v>142</v>
      </c>
      <c r="AM48" s="2" t="s">
        <v>73</v>
      </c>
    </row>
    <row r="49" spans="1:39" ht="409.6" x14ac:dyDescent="0.2">
      <c r="A49" s="1">
        <v>45862.799930555557</v>
      </c>
      <c r="B49" s="1">
        <v>45863.472662037035</v>
      </c>
      <c r="C49" s="2" t="s">
        <v>42</v>
      </c>
      <c r="D49" s="2" t="s">
        <v>488</v>
      </c>
      <c r="E49">
        <v>100</v>
      </c>
      <c r="F49">
        <v>58123</v>
      </c>
      <c r="G49" s="2" t="s">
        <v>68</v>
      </c>
      <c r="H49" s="1">
        <v>45863.472672858799</v>
      </c>
      <c r="I49" s="2" t="s">
        <v>489</v>
      </c>
      <c r="J49" s="2" t="s">
        <v>67</v>
      </c>
      <c r="K49" s="2" t="s">
        <v>67</v>
      </c>
      <c r="L49" s="2" t="s">
        <v>67</v>
      </c>
      <c r="M49" s="2" t="s">
        <v>67</v>
      </c>
      <c r="N49">
        <v>43.072499999999998</v>
      </c>
      <c r="O49">
        <v>-89.449100000000001</v>
      </c>
      <c r="P49" s="2" t="s">
        <v>78</v>
      </c>
      <c r="Q49" s="2" t="s">
        <v>69</v>
      </c>
      <c r="R49" s="2" t="s">
        <v>490</v>
      </c>
      <c r="S49" s="2" t="s">
        <v>491</v>
      </c>
      <c r="T49" s="2" t="s">
        <v>492</v>
      </c>
      <c r="U49" s="2" t="s">
        <v>493</v>
      </c>
      <c r="V49" s="2" t="s">
        <v>494</v>
      </c>
      <c r="W49" s="2" t="s">
        <v>495</v>
      </c>
      <c r="X49" s="2" t="s">
        <v>70</v>
      </c>
      <c r="Y49" s="2" t="s">
        <v>71</v>
      </c>
      <c r="Z49" s="2" t="s">
        <v>67</v>
      </c>
      <c r="AA49" s="2" t="s">
        <v>67</v>
      </c>
      <c r="AB49" s="2" t="s">
        <v>496</v>
      </c>
      <c r="AC49" s="2" t="s">
        <v>497</v>
      </c>
      <c r="AD49" s="2" t="s">
        <v>498</v>
      </c>
      <c r="AE49" s="2" t="s">
        <v>67</v>
      </c>
      <c r="AF49" s="2" t="s">
        <v>67</v>
      </c>
      <c r="AG49" s="2" t="s">
        <v>67</v>
      </c>
      <c r="AH49" s="2" t="s">
        <v>67</v>
      </c>
      <c r="AI49" s="2" t="s">
        <v>67</v>
      </c>
      <c r="AJ49" s="2" t="s">
        <v>67</v>
      </c>
      <c r="AK49" s="2" t="s">
        <v>346</v>
      </c>
      <c r="AL49" s="2" t="s">
        <v>142</v>
      </c>
      <c r="AM49" s="2" t="s">
        <v>73</v>
      </c>
    </row>
    <row r="50" spans="1:39" ht="409.6" x14ac:dyDescent="0.2">
      <c r="A50" s="1">
        <v>45863.339583333334</v>
      </c>
      <c r="B50" s="1">
        <v>45863.505300925928</v>
      </c>
      <c r="C50" s="2" t="s">
        <v>42</v>
      </c>
      <c r="D50" s="2" t="s">
        <v>499</v>
      </c>
      <c r="E50">
        <v>100</v>
      </c>
      <c r="F50">
        <v>14317</v>
      </c>
      <c r="G50" s="2" t="s">
        <v>68</v>
      </c>
      <c r="H50" s="1">
        <v>45863.505308842592</v>
      </c>
      <c r="I50" s="2" t="s">
        <v>500</v>
      </c>
      <c r="J50" s="2" t="s">
        <v>67</v>
      </c>
      <c r="K50" s="2" t="s">
        <v>67</v>
      </c>
      <c r="L50" s="2" t="s">
        <v>67</v>
      </c>
      <c r="M50" s="2" t="s">
        <v>67</v>
      </c>
      <c r="N50">
        <v>43.072499999999998</v>
      </c>
      <c r="O50">
        <v>-89.449100000000001</v>
      </c>
      <c r="P50" s="2" t="s">
        <v>78</v>
      </c>
      <c r="Q50" s="2" t="s">
        <v>69</v>
      </c>
      <c r="R50" s="2" t="s">
        <v>501</v>
      </c>
      <c r="S50" s="2" t="s">
        <v>502</v>
      </c>
      <c r="T50" s="2" t="s">
        <v>503</v>
      </c>
      <c r="U50" s="2" t="s">
        <v>198</v>
      </c>
      <c r="V50" s="2" t="s">
        <v>504</v>
      </c>
      <c r="W50" s="2" t="s">
        <v>505</v>
      </c>
      <c r="X50" s="2" t="s">
        <v>70</v>
      </c>
      <c r="Y50" s="2" t="s">
        <v>71</v>
      </c>
      <c r="Z50" s="2" t="s">
        <v>67</v>
      </c>
      <c r="AA50" s="2" t="s">
        <v>67</v>
      </c>
      <c r="AB50" s="2" t="s">
        <v>506</v>
      </c>
      <c r="AC50" s="2" t="s">
        <v>507</v>
      </c>
      <c r="AD50" s="2" t="s">
        <v>508</v>
      </c>
      <c r="AE50" s="2" t="s">
        <v>67</v>
      </c>
      <c r="AF50" s="2" t="s">
        <v>67</v>
      </c>
      <c r="AG50" s="2" t="s">
        <v>67</v>
      </c>
      <c r="AH50" s="2" t="s">
        <v>67</v>
      </c>
      <c r="AI50" s="2" t="s">
        <v>67</v>
      </c>
      <c r="AJ50" s="2" t="s">
        <v>67</v>
      </c>
      <c r="AK50" s="2" t="s">
        <v>455</v>
      </c>
      <c r="AL50" s="2" t="s">
        <v>142</v>
      </c>
      <c r="AM50" s="2" t="s">
        <v>73</v>
      </c>
    </row>
    <row r="51" spans="1:39" ht="64" x14ac:dyDescent="0.2">
      <c r="A51" s="1">
        <v>45860.358506944445</v>
      </c>
      <c r="B51" s="1">
        <v>45863.5783912037</v>
      </c>
      <c r="C51" s="2" t="s">
        <v>42</v>
      </c>
      <c r="D51" s="2" t="s">
        <v>509</v>
      </c>
      <c r="E51">
        <v>100</v>
      </c>
      <c r="F51">
        <v>278197</v>
      </c>
      <c r="G51" s="2" t="s">
        <v>68</v>
      </c>
      <c r="H51" s="1">
        <v>45863.578401851853</v>
      </c>
      <c r="I51" s="2" t="s">
        <v>510</v>
      </c>
      <c r="J51" s="2" t="s">
        <v>67</v>
      </c>
      <c r="K51" s="2" t="s">
        <v>67</v>
      </c>
      <c r="L51" s="2" t="s">
        <v>67</v>
      </c>
      <c r="M51" s="2" t="s">
        <v>67</v>
      </c>
      <c r="N51">
        <v>43.081200000000003</v>
      </c>
      <c r="O51">
        <v>-89.383799999999994</v>
      </c>
      <c r="P51" s="2" t="s">
        <v>78</v>
      </c>
      <c r="Q51" s="2" t="s">
        <v>69</v>
      </c>
      <c r="R51" s="2" t="s">
        <v>511</v>
      </c>
      <c r="S51" s="2" t="s">
        <v>512</v>
      </c>
      <c r="T51" s="2" t="s">
        <v>513</v>
      </c>
      <c r="U51" s="2" t="s">
        <v>90</v>
      </c>
      <c r="V51" s="2" t="s">
        <v>450</v>
      </c>
      <c r="W51" s="2" t="s">
        <v>514</v>
      </c>
      <c r="X51" s="2" t="s">
        <v>67</v>
      </c>
      <c r="Y51" s="2" t="s">
        <v>67</v>
      </c>
      <c r="Z51" s="2" t="s">
        <v>67</v>
      </c>
      <c r="AA51" s="2" t="s">
        <v>67</v>
      </c>
      <c r="AB51" s="2" t="s">
        <v>67</v>
      </c>
      <c r="AC51" s="2" t="s">
        <v>67</v>
      </c>
      <c r="AD51" s="2" t="s">
        <v>67</v>
      </c>
      <c r="AE51" s="2" t="s">
        <v>67</v>
      </c>
      <c r="AF51" s="2" t="s">
        <v>67</v>
      </c>
      <c r="AG51" s="2" t="s">
        <v>67</v>
      </c>
      <c r="AH51" s="2" t="s">
        <v>67</v>
      </c>
      <c r="AI51" s="2" t="s">
        <v>67</v>
      </c>
      <c r="AJ51" s="2" t="s">
        <v>67</v>
      </c>
      <c r="AK51" s="2" t="s">
        <v>455</v>
      </c>
      <c r="AL51" s="2" t="s">
        <v>142</v>
      </c>
      <c r="AM51" s="2" t="s">
        <v>73</v>
      </c>
    </row>
    <row r="52" spans="1:39" ht="409.6" x14ac:dyDescent="0.2">
      <c r="A52" s="1">
        <v>45863.580127314817</v>
      </c>
      <c r="B52" s="1">
        <v>45863.595520833333</v>
      </c>
      <c r="C52" s="2" t="s">
        <v>42</v>
      </c>
      <c r="D52" s="2" t="s">
        <v>509</v>
      </c>
      <c r="E52">
        <v>100</v>
      </c>
      <c r="F52">
        <v>1330</v>
      </c>
      <c r="G52" s="2" t="s">
        <v>68</v>
      </c>
      <c r="H52" s="1">
        <v>45863.595531539351</v>
      </c>
      <c r="I52" s="2" t="s">
        <v>515</v>
      </c>
      <c r="J52" s="2" t="s">
        <v>67</v>
      </c>
      <c r="K52" s="2" t="s">
        <v>67</v>
      </c>
      <c r="L52" s="2" t="s">
        <v>67</v>
      </c>
      <c r="M52" s="2" t="s">
        <v>67</v>
      </c>
      <c r="N52">
        <v>43.072499999999998</v>
      </c>
      <c r="O52">
        <v>-89.449100000000001</v>
      </c>
      <c r="P52" s="2" t="s">
        <v>78</v>
      </c>
      <c r="Q52" s="2" t="s">
        <v>69</v>
      </c>
      <c r="R52" s="2" t="s">
        <v>511</v>
      </c>
      <c r="S52" s="2" t="s">
        <v>512</v>
      </c>
      <c r="T52" s="2" t="s">
        <v>513</v>
      </c>
      <c r="U52" s="2" t="s">
        <v>90</v>
      </c>
      <c r="V52" s="2" t="s">
        <v>82</v>
      </c>
      <c r="W52" s="2" t="s">
        <v>514</v>
      </c>
      <c r="X52" s="2" t="s">
        <v>70</v>
      </c>
      <c r="Y52" s="2" t="s">
        <v>71</v>
      </c>
      <c r="Z52" s="2" t="s">
        <v>67</v>
      </c>
      <c r="AA52" s="2" t="s">
        <v>67</v>
      </c>
      <c r="AB52" s="2" t="s">
        <v>516</v>
      </c>
      <c r="AC52" s="2" t="s">
        <v>517</v>
      </c>
      <c r="AD52" s="2" t="s">
        <v>518</v>
      </c>
      <c r="AE52" s="2" t="s">
        <v>67</v>
      </c>
      <c r="AF52" s="2" t="s">
        <v>67</v>
      </c>
      <c r="AG52" s="2" t="s">
        <v>67</v>
      </c>
      <c r="AH52" s="2" t="s">
        <v>67</v>
      </c>
      <c r="AI52" s="2" t="s">
        <v>67</v>
      </c>
      <c r="AJ52" s="2" t="s">
        <v>67</v>
      </c>
      <c r="AK52" s="2" t="s">
        <v>455</v>
      </c>
      <c r="AL52" s="2" t="s">
        <v>142</v>
      </c>
      <c r="AM52" s="2" t="s">
        <v>73</v>
      </c>
    </row>
    <row r="53" spans="1:39" ht="409.6" x14ac:dyDescent="0.2">
      <c r="A53" s="1">
        <v>45863.5940162037</v>
      </c>
      <c r="B53" s="1">
        <v>45863.623182870368</v>
      </c>
      <c r="C53" s="2" t="s">
        <v>42</v>
      </c>
      <c r="D53" s="2" t="s">
        <v>519</v>
      </c>
      <c r="E53">
        <v>100</v>
      </c>
      <c r="F53">
        <v>2520</v>
      </c>
      <c r="G53" s="2" t="s">
        <v>68</v>
      </c>
      <c r="H53" s="1">
        <v>45863.623199374997</v>
      </c>
      <c r="I53" s="2" t="s">
        <v>520</v>
      </c>
      <c r="J53" s="2" t="s">
        <v>67</v>
      </c>
      <c r="K53" s="2" t="s">
        <v>67</v>
      </c>
      <c r="L53" s="2" t="s">
        <v>67</v>
      </c>
      <c r="M53" s="2" t="s">
        <v>67</v>
      </c>
      <c r="N53">
        <v>43.097700000000003</v>
      </c>
      <c r="O53">
        <v>-89.311800000000005</v>
      </c>
      <c r="P53" s="2" t="s">
        <v>78</v>
      </c>
      <c r="Q53" s="2" t="s">
        <v>69</v>
      </c>
      <c r="R53" s="2" t="s">
        <v>521</v>
      </c>
      <c r="S53" s="2" t="s">
        <v>522</v>
      </c>
      <c r="T53" s="2" t="s">
        <v>523</v>
      </c>
      <c r="U53" s="2" t="s">
        <v>67</v>
      </c>
      <c r="V53" s="2" t="s">
        <v>126</v>
      </c>
      <c r="W53" s="2" t="s">
        <v>524</v>
      </c>
      <c r="X53" s="2" t="s">
        <v>70</v>
      </c>
      <c r="Y53" s="2" t="s">
        <v>71</v>
      </c>
      <c r="Z53" s="2" t="s">
        <v>67</v>
      </c>
      <c r="AA53" s="2" t="s">
        <v>67</v>
      </c>
      <c r="AB53" s="2" t="s">
        <v>525</v>
      </c>
      <c r="AC53" s="2" t="s">
        <v>526</v>
      </c>
      <c r="AD53" s="2" t="s">
        <v>527</v>
      </c>
      <c r="AE53" s="2" t="s">
        <v>67</v>
      </c>
      <c r="AF53" s="2" t="s">
        <v>67</v>
      </c>
      <c r="AG53" s="2" t="s">
        <v>67</v>
      </c>
      <c r="AH53" s="2" t="s">
        <v>67</v>
      </c>
      <c r="AI53" s="2" t="s">
        <v>67</v>
      </c>
      <c r="AJ53" s="2" t="s">
        <v>67</v>
      </c>
      <c r="AK53" s="2" t="s">
        <v>455</v>
      </c>
      <c r="AL53" s="2" t="s">
        <v>142</v>
      </c>
      <c r="AM53" s="2" t="s">
        <v>73</v>
      </c>
    </row>
    <row r="54" spans="1:39" ht="409.6" x14ac:dyDescent="0.2">
      <c r="A54" s="1">
        <v>45863.61074074074</v>
      </c>
      <c r="B54" s="1">
        <v>45863.625590277778</v>
      </c>
      <c r="C54" s="2" t="s">
        <v>42</v>
      </c>
      <c r="D54" s="2" t="s">
        <v>528</v>
      </c>
      <c r="E54">
        <v>100</v>
      </c>
      <c r="F54">
        <v>1283</v>
      </c>
      <c r="G54" s="2" t="s">
        <v>68</v>
      </c>
      <c r="H54" s="1">
        <v>45863.625606655092</v>
      </c>
      <c r="I54" s="2" t="s">
        <v>529</v>
      </c>
      <c r="J54" s="2" t="s">
        <v>67</v>
      </c>
      <c r="K54" s="2" t="s">
        <v>67</v>
      </c>
      <c r="L54" s="2" t="s">
        <v>67</v>
      </c>
      <c r="M54" s="2" t="s">
        <v>67</v>
      </c>
      <c r="N54">
        <v>43.081200000000003</v>
      </c>
      <c r="O54">
        <v>-89.383799999999994</v>
      </c>
      <c r="P54" s="2" t="s">
        <v>78</v>
      </c>
      <c r="Q54" s="2" t="s">
        <v>69</v>
      </c>
      <c r="R54" s="2" t="s">
        <v>530</v>
      </c>
      <c r="S54" s="2" t="s">
        <v>531</v>
      </c>
      <c r="T54" s="2" t="s">
        <v>532</v>
      </c>
      <c r="U54" s="2" t="s">
        <v>90</v>
      </c>
      <c r="V54" s="2" t="s">
        <v>237</v>
      </c>
      <c r="W54" s="2" t="s">
        <v>533</v>
      </c>
      <c r="X54" s="2" t="s">
        <v>70</v>
      </c>
      <c r="Y54" s="2" t="s">
        <v>71</v>
      </c>
      <c r="Z54" s="2" t="s">
        <v>67</v>
      </c>
      <c r="AA54" s="2" t="s">
        <v>67</v>
      </c>
      <c r="AB54" s="2" t="s">
        <v>534</v>
      </c>
      <c r="AC54" s="2" t="s">
        <v>535</v>
      </c>
      <c r="AD54" s="2" t="s">
        <v>536</v>
      </c>
      <c r="AE54" s="2" t="s">
        <v>67</v>
      </c>
      <c r="AF54" s="2" t="s">
        <v>67</v>
      </c>
      <c r="AG54" s="2" t="s">
        <v>67</v>
      </c>
      <c r="AH54" s="2" t="s">
        <v>67</v>
      </c>
      <c r="AI54" s="2" t="s">
        <v>67</v>
      </c>
      <c r="AJ54" s="2" t="s">
        <v>67</v>
      </c>
      <c r="AK54" s="2" t="s">
        <v>455</v>
      </c>
      <c r="AL54" s="2" t="s">
        <v>142</v>
      </c>
      <c r="AM54" s="2" t="s">
        <v>73</v>
      </c>
    </row>
    <row r="55" spans="1:39" ht="409.6" x14ac:dyDescent="0.2">
      <c r="A55" s="1">
        <v>45863.624143518522</v>
      </c>
      <c r="B55" s="1">
        <v>45863.626701388886</v>
      </c>
      <c r="C55" s="2" t="s">
        <v>42</v>
      </c>
      <c r="D55" s="2" t="s">
        <v>537</v>
      </c>
      <c r="E55">
        <v>100</v>
      </c>
      <c r="F55">
        <v>221</v>
      </c>
      <c r="G55" s="2" t="s">
        <v>68</v>
      </c>
      <c r="H55" s="1">
        <v>45863.626714768521</v>
      </c>
      <c r="I55" s="2" t="s">
        <v>538</v>
      </c>
      <c r="J55" s="2" t="s">
        <v>67</v>
      </c>
      <c r="K55" s="2" t="s">
        <v>67</v>
      </c>
      <c r="L55" s="2" t="s">
        <v>67</v>
      </c>
      <c r="M55" s="2" t="s">
        <v>67</v>
      </c>
      <c r="N55">
        <v>43.0334</v>
      </c>
      <c r="O55">
        <v>-89.4512</v>
      </c>
      <c r="P55" s="2" t="s">
        <v>78</v>
      </c>
      <c r="Q55" s="2" t="s">
        <v>69</v>
      </c>
      <c r="R55" s="2" t="s">
        <v>539</v>
      </c>
      <c r="S55" s="2" t="s">
        <v>540</v>
      </c>
      <c r="T55" s="2" t="s">
        <v>541</v>
      </c>
      <c r="U55" s="2" t="s">
        <v>67</v>
      </c>
      <c r="V55" s="2" t="s">
        <v>308</v>
      </c>
      <c r="W55" s="2" t="s">
        <v>542</v>
      </c>
      <c r="X55" s="2" t="s">
        <v>70</v>
      </c>
      <c r="Y55" s="2" t="s">
        <v>71</v>
      </c>
      <c r="Z55" s="2" t="s">
        <v>67</v>
      </c>
      <c r="AA55" s="2" t="s">
        <v>67</v>
      </c>
      <c r="AB55" s="2" t="s">
        <v>543</v>
      </c>
      <c r="AC55" s="2" t="s">
        <v>544</v>
      </c>
      <c r="AD55" s="2" t="s">
        <v>545</v>
      </c>
      <c r="AE55" s="2" t="s">
        <v>67</v>
      </c>
      <c r="AF55" s="2" t="s">
        <v>67</v>
      </c>
      <c r="AG55" s="2" t="s">
        <v>67</v>
      </c>
      <c r="AH55" s="2" t="s">
        <v>67</v>
      </c>
      <c r="AI55" s="2" t="s">
        <v>67</v>
      </c>
      <c r="AJ55" s="2" t="s">
        <v>67</v>
      </c>
      <c r="AK55" s="2" t="s">
        <v>455</v>
      </c>
      <c r="AL55" s="2" t="s">
        <v>142</v>
      </c>
      <c r="AM55" s="2" t="s">
        <v>73</v>
      </c>
    </row>
    <row r="56" spans="1:39" ht="409.6" x14ac:dyDescent="0.2">
      <c r="A56" s="1">
        <v>45862.389699074076</v>
      </c>
      <c r="B56" s="1">
        <v>45863.627534722225</v>
      </c>
      <c r="C56" s="2" t="s">
        <v>42</v>
      </c>
      <c r="D56" s="2" t="s">
        <v>546</v>
      </c>
      <c r="E56">
        <v>100</v>
      </c>
      <c r="F56">
        <v>106948</v>
      </c>
      <c r="G56" s="2" t="s">
        <v>68</v>
      </c>
      <c r="H56" s="1">
        <v>45863.627546886572</v>
      </c>
      <c r="I56" s="2" t="s">
        <v>547</v>
      </c>
      <c r="J56" s="2" t="s">
        <v>67</v>
      </c>
      <c r="K56" s="2" t="s">
        <v>67</v>
      </c>
      <c r="L56" s="2" t="s">
        <v>67</v>
      </c>
      <c r="M56" s="2" t="s">
        <v>67</v>
      </c>
      <c r="N56">
        <v>43.072499999999998</v>
      </c>
      <c r="O56">
        <v>-89.449100000000001</v>
      </c>
      <c r="P56" s="2" t="s">
        <v>78</v>
      </c>
      <c r="Q56" s="2" t="s">
        <v>69</v>
      </c>
      <c r="R56" s="2" t="s">
        <v>548</v>
      </c>
      <c r="S56" s="2" t="s">
        <v>549</v>
      </c>
      <c r="T56" s="2" t="s">
        <v>550</v>
      </c>
      <c r="U56" s="2" t="s">
        <v>125</v>
      </c>
      <c r="V56" s="2" t="s">
        <v>82</v>
      </c>
      <c r="W56" s="2" t="s">
        <v>280</v>
      </c>
      <c r="X56" s="2" t="s">
        <v>70</v>
      </c>
      <c r="Y56" s="2" t="s">
        <v>71</v>
      </c>
      <c r="Z56" s="2" t="s">
        <v>67</v>
      </c>
      <c r="AA56" s="2" t="s">
        <v>67</v>
      </c>
      <c r="AB56" s="2" t="s">
        <v>551</v>
      </c>
      <c r="AC56" s="2" t="s">
        <v>552</v>
      </c>
      <c r="AD56" s="2" t="s">
        <v>553</v>
      </c>
      <c r="AE56" s="2" t="s">
        <v>67</v>
      </c>
      <c r="AF56" s="2" t="s">
        <v>67</v>
      </c>
      <c r="AG56" s="2" t="s">
        <v>67</v>
      </c>
      <c r="AH56" s="2" t="s">
        <v>67</v>
      </c>
      <c r="AI56" s="2" t="s">
        <v>67</v>
      </c>
      <c r="AJ56" s="2" t="s">
        <v>67</v>
      </c>
      <c r="AK56" s="2" t="s">
        <v>346</v>
      </c>
      <c r="AL56" s="2" t="s">
        <v>142</v>
      </c>
      <c r="AM56" s="2" t="s">
        <v>73</v>
      </c>
    </row>
    <row r="57" spans="1:39" ht="409.6" x14ac:dyDescent="0.2">
      <c r="A57" s="1">
        <v>45863.642268518517</v>
      </c>
      <c r="B57" s="1">
        <v>45863.650752314818</v>
      </c>
      <c r="C57" s="2" t="s">
        <v>42</v>
      </c>
      <c r="D57" s="2" t="s">
        <v>554</v>
      </c>
      <c r="E57">
        <v>100</v>
      </c>
      <c r="F57">
        <v>733</v>
      </c>
      <c r="G57" s="2" t="s">
        <v>68</v>
      </c>
      <c r="H57" s="1">
        <v>45863.650761620367</v>
      </c>
      <c r="I57" s="2" t="s">
        <v>555</v>
      </c>
      <c r="J57" s="2" t="s">
        <v>67</v>
      </c>
      <c r="K57" s="2" t="s">
        <v>67</v>
      </c>
      <c r="L57" s="2" t="s">
        <v>67</v>
      </c>
      <c r="M57" s="2" t="s">
        <v>67</v>
      </c>
      <c r="N57">
        <v>43.072499999999998</v>
      </c>
      <c r="O57">
        <v>-89.449100000000001</v>
      </c>
      <c r="P57" s="2" t="s">
        <v>78</v>
      </c>
      <c r="Q57" s="2" t="s">
        <v>69</v>
      </c>
      <c r="R57" s="2" t="s">
        <v>272</v>
      </c>
      <c r="S57" s="2" t="s">
        <v>273</v>
      </c>
      <c r="T57" s="2" t="s">
        <v>274</v>
      </c>
      <c r="U57" s="2" t="s">
        <v>556</v>
      </c>
      <c r="V57" s="2" t="s">
        <v>219</v>
      </c>
      <c r="W57" s="2" t="s">
        <v>209</v>
      </c>
      <c r="X57" s="2" t="s">
        <v>70</v>
      </c>
      <c r="Y57" s="2" t="s">
        <v>71</v>
      </c>
      <c r="Z57" s="2" t="s">
        <v>67</v>
      </c>
      <c r="AA57" s="2" t="s">
        <v>67</v>
      </c>
      <c r="AB57" s="2" t="s">
        <v>557</v>
      </c>
      <c r="AC57" s="2" t="s">
        <v>558</v>
      </c>
      <c r="AD57" s="2" t="s">
        <v>559</v>
      </c>
      <c r="AE57" s="2" t="s">
        <v>67</v>
      </c>
      <c r="AF57" s="2" t="s">
        <v>67</v>
      </c>
      <c r="AG57" s="2" t="s">
        <v>67</v>
      </c>
      <c r="AH57" s="2" t="s">
        <v>67</v>
      </c>
      <c r="AI57" s="2" t="s">
        <v>67</v>
      </c>
      <c r="AJ57" s="2" t="s">
        <v>67</v>
      </c>
      <c r="AK57" s="2" t="s">
        <v>455</v>
      </c>
      <c r="AL57" s="2" t="s">
        <v>142</v>
      </c>
      <c r="AM57" s="2" t="s">
        <v>73</v>
      </c>
    </row>
    <row r="58" spans="1:39" ht="409.6" x14ac:dyDescent="0.2">
      <c r="A58" s="1">
        <v>45862.412777777776</v>
      </c>
      <c r="B58" s="1">
        <v>45863.672476851854</v>
      </c>
      <c r="C58" s="2" t="s">
        <v>42</v>
      </c>
      <c r="D58" s="2" t="s">
        <v>560</v>
      </c>
      <c r="E58">
        <v>100</v>
      </c>
      <c r="F58">
        <v>108837</v>
      </c>
      <c r="G58" s="2" t="s">
        <v>68</v>
      </c>
      <c r="H58" s="1">
        <v>45863.672490659723</v>
      </c>
      <c r="I58" s="2" t="s">
        <v>561</v>
      </c>
      <c r="J58" s="2" t="s">
        <v>67</v>
      </c>
      <c r="K58" s="2" t="s">
        <v>67</v>
      </c>
      <c r="L58" s="2" t="s">
        <v>67</v>
      </c>
      <c r="M58" s="2" t="s">
        <v>67</v>
      </c>
      <c r="N58">
        <v>43.072499999999998</v>
      </c>
      <c r="O58">
        <v>-89.449100000000001</v>
      </c>
      <c r="P58" s="2" t="s">
        <v>78</v>
      </c>
      <c r="Q58" s="2" t="s">
        <v>69</v>
      </c>
      <c r="R58" s="2" t="s">
        <v>562</v>
      </c>
      <c r="S58" s="2" t="s">
        <v>563</v>
      </c>
      <c r="T58" s="2" t="s">
        <v>564</v>
      </c>
      <c r="U58" s="2" t="s">
        <v>315</v>
      </c>
      <c r="V58" s="2" t="s">
        <v>161</v>
      </c>
      <c r="W58" s="2" t="s">
        <v>565</v>
      </c>
      <c r="X58" s="2" t="s">
        <v>70</v>
      </c>
      <c r="Y58" s="2" t="s">
        <v>71</v>
      </c>
      <c r="Z58" s="2" t="s">
        <v>67</v>
      </c>
      <c r="AA58" s="2" t="s">
        <v>67</v>
      </c>
      <c r="AB58" s="2" t="s">
        <v>566</v>
      </c>
      <c r="AC58" s="2" t="s">
        <v>567</v>
      </c>
      <c r="AD58" s="2" t="s">
        <v>568</v>
      </c>
      <c r="AE58" s="2" t="s">
        <v>67</v>
      </c>
      <c r="AF58" s="2" t="s">
        <v>67</v>
      </c>
      <c r="AG58" s="2" t="s">
        <v>67</v>
      </c>
      <c r="AH58" s="2" t="s">
        <v>67</v>
      </c>
      <c r="AI58" s="2" t="s">
        <v>67</v>
      </c>
      <c r="AJ58" s="2" t="s">
        <v>67</v>
      </c>
      <c r="AK58" s="2" t="s">
        <v>455</v>
      </c>
      <c r="AL58" s="2" t="s">
        <v>142</v>
      </c>
      <c r="AM58" s="2" t="s">
        <v>73</v>
      </c>
    </row>
    <row r="59" spans="1:39" ht="409.6" x14ac:dyDescent="0.2">
      <c r="A59" s="1">
        <v>45863.705046296294</v>
      </c>
      <c r="B59" s="1">
        <v>45863.705925925926</v>
      </c>
      <c r="C59" s="2" t="s">
        <v>42</v>
      </c>
      <c r="D59" s="2" t="s">
        <v>569</v>
      </c>
      <c r="E59">
        <v>100</v>
      </c>
      <c r="F59">
        <v>76</v>
      </c>
      <c r="G59" s="2" t="s">
        <v>68</v>
      </c>
      <c r="H59" s="1">
        <v>45863.705938344909</v>
      </c>
      <c r="I59" s="2" t="s">
        <v>570</v>
      </c>
      <c r="J59" s="2" t="s">
        <v>67</v>
      </c>
      <c r="K59" s="2" t="s">
        <v>67</v>
      </c>
      <c r="L59" s="2" t="s">
        <v>67</v>
      </c>
      <c r="M59" s="2" t="s">
        <v>67</v>
      </c>
      <c r="N59">
        <v>43.068399999999997</v>
      </c>
      <c r="O59">
        <v>-89.429299999999998</v>
      </c>
      <c r="P59" s="2" t="s">
        <v>78</v>
      </c>
      <c r="Q59" s="2" t="s">
        <v>69</v>
      </c>
      <c r="R59" s="2" t="s">
        <v>75</v>
      </c>
      <c r="S59" s="2" t="s">
        <v>76</v>
      </c>
      <c r="T59" s="2" t="s">
        <v>77</v>
      </c>
      <c r="U59" s="2" t="s">
        <v>81</v>
      </c>
      <c r="V59" s="2" t="s">
        <v>82</v>
      </c>
      <c r="W59" s="2" t="s">
        <v>571</v>
      </c>
      <c r="X59" s="2" t="s">
        <v>70</v>
      </c>
      <c r="Y59" s="2" t="s">
        <v>71</v>
      </c>
      <c r="Z59" s="2" t="s">
        <v>67</v>
      </c>
      <c r="AA59" s="2" t="s">
        <v>67</v>
      </c>
      <c r="AB59" s="2" t="s">
        <v>572</v>
      </c>
      <c r="AC59" s="2" t="s">
        <v>573</v>
      </c>
      <c r="AD59" s="2" t="s">
        <v>574</v>
      </c>
      <c r="AE59" s="2" t="s">
        <v>67</v>
      </c>
      <c r="AF59" s="2" t="s">
        <v>67</v>
      </c>
      <c r="AG59" s="2" t="s">
        <v>67</v>
      </c>
      <c r="AH59" s="2" t="s">
        <v>67</v>
      </c>
      <c r="AI59" s="2" t="s">
        <v>67</v>
      </c>
      <c r="AJ59" s="2" t="s">
        <v>67</v>
      </c>
      <c r="AK59" s="2" t="s">
        <v>455</v>
      </c>
      <c r="AL59" s="2" t="s">
        <v>142</v>
      </c>
      <c r="AM59" s="2" t="s">
        <v>73</v>
      </c>
    </row>
    <row r="60" spans="1:39" ht="409.6" x14ac:dyDescent="0.2">
      <c r="A60" s="1">
        <v>45863.867789351854</v>
      </c>
      <c r="B60" s="1">
        <v>45863.875416666669</v>
      </c>
      <c r="C60" s="2" t="s">
        <v>42</v>
      </c>
      <c r="D60" s="2" t="s">
        <v>575</v>
      </c>
      <c r="E60">
        <v>100</v>
      </c>
      <c r="F60">
        <v>658</v>
      </c>
      <c r="G60" s="2" t="s">
        <v>68</v>
      </c>
      <c r="H60" s="1">
        <v>45863.875430011576</v>
      </c>
      <c r="I60" s="2" t="s">
        <v>576</v>
      </c>
      <c r="J60" s="2" t="s">
        <v>67</v>
      </c>
      <c r="K60" s="2" t="s">
        <v>67</v>
      </c>
      <c r="L60" s="2" t="s">
        <v>67</v>
      </c>
      <c r="M60" s="2" t="s">
        <v>67</v>
      </c>
      <c r="N60">
        <v>43.037100000000002</v>
      </c>
      <c r="O60">
        <v>-89.393199999999993</v>
      </c>
      <c r="P60" s="2" t="s">
        <v>78</v>
      </c>
      <c r="Q60" s="2" t="s">
        <v>69</v>
      </c>
      <c r="R60" s="2" t="s">
        <v>577</v>
      </c>
      <c r="S60" s="2" t="s">
        <v>578</v>
      </c>
      <c r="T60" s="2" t="s">
        <v>579</v>
      </c>
      <c r="U60" s="2" t="s">
        <v>67</v>
      </c>
      <c r="V60" s="2" t="s">
        <v>237</v>
      </c>
      <c r="W60" s="2" t="s">
        <v>266</v>
      </c>
      <c r="X60" s="2" t="s">
        <v>70</v>
      </c>
      <c r="Y60" s="2" t="s">
        <v>71</v>
      </c>
      <c r="Z60" s="2" t="s">
        <v>67</v>
      </c>
      <c r="AA60" s="2" t="s">
        <v>67</v>
      </c>
      <c r="AB60" s="2" t="s">
        <v>580</v>
      </c>
      <c r="AC60" s="2" t="s">
        <v>581</v>
      </c>
      <c r="AD60" s="2" t="s">
        <v>582</v>
      </c>
      <c r="AE60" s="2" t="s">
        <v>67</v>
      </c>
      <c r="AF60" s="2" t="s">
        <v>67</v>
      </c>
      <c r="AG60" s="2" t="s">
        <v>67</v>
      </c>
      <c r="AH60" s="2" t="s">
        <v>67</v>
      </c>
      <c r="AI60" s="2" t="s">
        <v>67</v>
      </c>
      <c r="AJ60" s="2" t="s">
        <v>67</v>
      </c>
      <c r="AK60" s="2" t="s">
        <v>455</v>
      </c>
      <c r="AL60" s="2" t="s">
        <v>142</v>
      </c>
      <c r="AM60" s="2" t="s">
        <v>73</v>
      </c>
    </row>
    <row r="61" spans="1:39" ht="160" x14ac:dyDescent="0.2">
      <c r="A61" s="1">
        <v>45859.557083333333</v>
      </c>
      <c r="B61" s="1">
        <v>45859.564571759256</v>
      </c>
      <c r="C61" s="2" t="s">
        <v>42</v>
      </c>
      <c r="D61" s="2" t="s">
        <v>583</v>
      </c>
      <c r="E61">
        <v>88</v>
      </c>
      <c r="F61">
        <v>647</v>
      </c>
      <c r="G61" s="2" t="s">
        <v>80</v>
      </c>
      <c r="H61" s="1">
        <v>45866.564664363425</v>
      </c>
      <c r="I61" s="2" t="s">
        <v>584</v>
      </c>
      <c r="J61" s="2" t="s">
        <v>67</v>
      </c>
      <c r="K61" s="2" t="s">
        <v>67</v>
      </c>
      <c r="L61" s="2" t="s">
        <v>67</v>
      </c>
      <c r="M61" s="2" t="s">
        <v>67</v>
      </c>
      <c r="N61">
        <v>43.037100000000002</v>
      </c>
      <c r="O61">
        <v>-89.393199999999993</v>
      </c>
      <c r="P61" s="2" t="s">
        <v>78</v>
      </c>
      <c r="Q61" s="2" t="s">
        <v>69</v>
      </c>
      <c r="R61" s="2" t="s">
        <v>585</v>
      </c>
      <c r="S61" s="2" t="s">
        <v>586</v>
      </c>
      <c r="T61" s="2" t="s">
        <v>587</v>
      </c>
      <c r="U61" s="2" t="s">
        <v>588</v>
      </c>
      <c r="V61" s="2" t="s">
        <v>589</v>
      </c>
      <c r="W61" s="2" t="s">
        <v>590</v>
      </c>
      <c r="X61" s="2" t="s">
        <v>71</v>
      </c>
      <c r="Y61" s="2" t="s">
        <v>74</v>
      </c>
      <c r="Z61" s="2" t="s">
        <v>67</v>
      </c>
      <c r="AA61" s="2" t="s">
        <v>67</v>
      </c>
      <c r="AB61" s="2" t="s">
        <v>67</v>
      </c>
      <c r="AC61" s="2" t="s">
        <v>67</v>
      </c>
      <c r="AD61" s="2" t="s">
        <v>67</v>
      </c>
      <c r="AE61" s="2" t="s">
        <v>67</v>
      </c>
      <c r="AF61" s="2" t="s">
        <v>67</v>
      </c>
      <c r="AG61" s="2" t="s">
        <v>67</v>
      </c>
      <c r="AH61" s="2" t="s">
        <v>67</v>
      </c>
      <c r="AI61" s="2" t="s">
        <v>67</v>
      </c>
      <c r="AJ61" s="2" t="s">
        <v>67</v>
      </c>
      <c r="AK61" s="2" t="s">
        <v>184</v>
      </c>
      <c r="AL61" s="2" t="s">
        <v>142</v>
      </c>
      <c r="AM61" s="2" t="s">
        <v>73</v>
      </c>
    </row>
    <row r="62" spans="1:39" ht="64" x14ac:dyDescent="0.2">
      <c r="A62" s="1">
        <v>45860.395254629628</v>
      </c>
      <c r="B62" s="1">
        <v>45860.663900462961</v>
      </c>
      <c r="C62" s="2" t="s">
        <v>42</v>
      </c>
      <c r="D62" s="2" t="s">
        <v>591</v>
      </c>
      <c r="E62">
        <v>29</v>
      </c>
      <c r="F62">
        <v>23211</v>
      </c>
      <c r="G62" s="2" t="s">
        <v>80</v>
      </c>
      <c r="H62" s="1">
        <v>45867.663961840277</v>
      </c>
      <c r="I62" s="2" t="s">
        <v>592</v>
      </c>
      <c r="J62" s="2" t="s">
        <v>67</v>
      </c>
      <c r="K62" s="2" t="s">
        <v>67</v>
      </c>
      <c r="L62" s="2" t="s">
        <v>67</v>
      </c>
      <c r="M62" s="2" t="s">
        <v>67</v>
      </c>
      <c r="N62">
        <v>43.081200000000003</v>
      </c>
      <c r="O62">
        <v>-89.383799999999994</v>
      </c>
      <c r="P62" s="2" t="s">
        <v>78</v>
      </c>
      <c r="Q62" s="2" t="s">
        <v>69</v>
      </c>
      <c r="R62" s="2" t="s">
        <v>593</v>
      </c>
      <c r="S62" s="2" t="s">
        <v>594</v>
      </c>
      <c r="T62" s="2" t="s">
        <v>595</v>
      </c>
      <c r="U62" s="2" t="s">
        <v>596</v>
      </c>
      <c r="V62" s="2" t="s">
        <v>597</v>
      </c>
      <c r="W62" s="2" t="s">
        <v>598</v>
      </c>
      <c r="X62" s="2" t="s">
        <v>67</v>
      </c>
      <c r="Y62" s="2" t="s">
        <v>67</v>
      </c>
      <c r="Z62" s="2" t="s">
        <v>67</v>
      </c>
      <c r="AA62" s="2" t="s">
        <v>67</v>
      </c>
      <c r="AB62" s="2" t="s">
        <v>67</v>
      </c>
      <c r="AC62" s="2" t="s">
        <v>67</v>
      </c>
      <c r="AD62" s="2" t="s">
        <v>67</v>
      </c>
      <c r="AE62" s="2" t="s">
        <v>67</v>
      </c>
      <c r="AF62" s="2" t="s">
        <v>67</v>
      </c>
      <c r="AG62" s="2" t="s">
        <v>67</v>
      </c>
      <c r="AH62" s="2" t="s">
        <v>67</v>
      </c>
      <c r="AI62" s="2" t="s">
        <v>67</v>
      </c>
      <c r="AJ62" s="2" t="s">
        <v>67</v>
      </c>
      <c r="AK62" s="2" t="s">
        <v>242</v>
      </c>
      <c r="AL62" s="2" t="s">
        <v>142</v>
      </c>
      <c r="AM62" s="2" t="s">
        <v>73</v>
      </c>
    </row>
    <row r="63" spans="1:39" ht="48" x14ac:dyDescent="0.2">
      <c r="A63" s="1">
        <v>45861.717881944445</v>
      </c>
      <c r="B63" s="1">
        <v>45861.719733796293</v>
      </c>
      <c r="C63" s="2" t="s">
        <v>42</v>
      </c>
      <c r="D63" s="2" t="s">
        <v>599</v>
      </c>
      <c r="E63">
        <v>54</v>
      </c>
      <c r="F63">
        <v>159</v>
      </c>
      <c r="G63" s="2" t="s">
        <v>80</v>
      </c>
      <c r="H63" s="1">
        <v>45868.719771840275</v>
      </c>
      <c r="I63" s="2" t="s">
        <v>600</v>
      </c>
      <c r="J63" s="2" t="s">
        <v>67</v>
      </c>
      <c r="K63" s="2" t="s">
        <v>67</v>
      </c>
      <c r="L63" s="2" t="s">
        <v>67</v>
      </c>
      <c r="M63" s="2" t="s">
        <v>67</v>
      </c>
      <c r="N63">
        <v>34.224299999999999</v>
      </c>
      <c r="O63">
        <v>-77.884900000000002</v>
      </c>
      <c r="P63" s="2" t="s">
        <v>78</v>
      </c>
      <c r="Q63" s="2" t="s">
        <v>69</v>
      </c>
      <c r="R63" s="2" t="s">
        <v>601</v>
      </c>
      <c r="S63" s="2" t="s">
        <v>601</v>
      </c>
      <c r="T63" s="2" t="s">
        <v>602</v>
      </c>
      <c r="U63" s="2" t="s">
        <v>601</v>
      </c>
      <c r="V63" s="2" t="s">
        <v>601</v>
      </c>
      <c r="W63" s="2" t="s">
        <v>601</v>
      </c>
      <c r="X63" s="2" t="s">
        <v>70</v>
      </c>
      <c r="Y63" s="2" t="s">
        <v>71</v>
      </c>
      <c r="Z63" s="2" t="s">
        <v>67</v>
      </c>
      <c r="AA63" s="2" t="s">
        <v>67</v>
      </c>
      <c r="AB63" s="2" t="s">
        <v>67</v>
      </c>
      <c r="AC63" s="2" t="s">
        <v>67</v>
      </c>
      <c r="AD63" s="2" t="s">
        <v>67</v>
      </c>
      <c r="AE63" s="2" t="s">
        <v>67</v>
      </c>
      <c r="AF63" s="2" t="s">
        <v>67</v>
      </c>
      <c r="AG63" s="2" t="s">
        <v>67</v>
      </c>
      <c r="AH63" s="2" t="s">
        <v>67</v>
      </c>
      <c r="AI63" s="2" t="s">
        <v>67</v>
      </c>
      <c r="AJ63" s="2" t="s">
        <v>67</v>
      </c>
      <c r="AK63" s="2" t="s">
        <v>305</v>
      </c>
      <c r="AL63" s="2" t="s">
        <v>142</v>
      </c>
      <c r="AM63" s="2" t="s">
        <v>73</v>
      </c>
    </row>
    <row r="64" spans="1:39" ht="48" x14ac:dyDescent="0.2">
      <c r="A64" s="1">
        <v>45862.317094907405</v>
      </c>
      <c r="B64" s="1">
        <v>45862.317569444444</v>
      </c>
      <c r="C64" s="2" t="s">
        <v>42</v>
      </c>
      <c r="D64" s="2" t="s">
        <v>603</v>
      </c>
      <c r="E64">
        <v>29</v>
      </c>
      <c r="F64">
        <v>41</v>
      </c>
      <c r="G64" s="2" t="s">
        <v>80</v>
      </c>
      <c r="H64" s="1">
        <v>45869.31758790509</v>
      </c>
      <c r="I64" s="2" t="s">
        <v>604</v>
      </c>
      <c r="J64" s="2" t="s">
        <v>67</v>
      </c>
      <c r="K64" s="2" t="s">
        <v>67</v>
      </c>
      <c r="L64" s="2" t="s">
        <v>67</v>
      </c>
      <c r="M64" s="2" t="s">
        <v>67</v>
      </c>
      <c r="N64">
        <v>43.072499999999998</v>
      </c>
      <c r="O64">
        <v>-89.449100000000001</v>
      </c>
      <c r="P64" s="2" t="s">
        <v>78</v>
      </c>
      <c r="Q64" s="2" t="s">
        <v>69</v>
      </c>
      <c r="R64" s="2" t="s">
        <v>328</v>
      </c>
      <c r="S64" s="2" t="s">
        <v>323</v>
      </c>
      <c r="T64" s="2" t="s">
        <v>324</v>
      </c>
      <c r="U64" s="2" t="s">
        <v>67</v>
      </c>
      <c r="V64" s="2" t="s">
        <v>82</v>
      </c>
      <c r="W64" s="2" t="s">
        <v>329</v>
      </c>
      <c r="X64" s="2" t="s">
        <v>67</v>
      </c>
      <c r="Y64" s="2" t="s">
        <v>67</v>
      </c>
      <c r="Z64" s="2" t="s">
        <v>67</v>
      </c>
      <c r="AA64" s="2" t="s">
        <v>67</v>
      </c>
      <c r="AB64" s="2" t="s">
        <v>67</v>
      </c>
      <c r="AC64" s="2" t="s">
        <v>67</v>
      </c>
      <c r="AD64" s="2" t="s">
        <v>67</v>
      </c>
      <c r="AE64" s="2" t="s">
        <v>67</v>
      </c>
      <c r="AF64" s="2" t="s">
        <v>67</v>
      </c>
      <c r="AG64" s="2" t="s">
        <v>67</v>
      </c>
      <c r="AH64" s="2" t="s">
        <v>67</v>
      </c>
      <c r="AI64" s="2" t="s">
        <v>67</v>
      </c>
      <c r="AJ64" s="2" t="s">
        <v>67</v>
      </c>
      <c r="AK64" s="2" t="s">
        <v>346</v>
      </c>
      <c r="AL64" s="2" t="s">
        <v>142</v>
      </c>
      <c r="AM64" s="2" t="s">
        <v>73</v>
      </c>
    </row>
    <row r="65" spans="1:39" ht="48" x14ac:dyDescent="0.2">
      <c r="A65" s="1">
        <v>45869.420104166667</v>
      </c>
      <c r="B65" s="1">
        <v>45869.421134259261</v>
      </c>
      <c r="C65" s="2" t="s">
        <v>42</v>
      </c>
      <c r="D65" s="2" t="s">
        <v>605</v>
      </c>
      <c r="E65">
        <v>100</v>
      </c>
      <c r="F65">
        <v>88</v>
      </c>
      <c r="G65" s="2" t="s">
        <v>68</v>
      </c>
      <c r="H65" s="1">
        <v>45869.421143842592</v>
      </c>
      <c r="I65" s="2" t="s">
        <v>606</v>
      </c>
      <c r="J65" s="2" t="s">
        <v>67</v>
      </c>
      <c r="K65" s="2" t="s">
        <v>67</v>
      </c>
      <c r="L65" s="2" t="s">
        <v>67</v>
      </c>
      <c r="M65" s="2" t="s">
        <v>67</v>
      </c>
      <c r="N65">
        <v>43.034399999999998</v>
      </c>
      <c r="O65">
        <v>-89.500699999999995</v>
      </c>
      <c r="P65" s="2" t="s">
        <v>78</v>
      </c>
      <c r="Q65" s="2" t="s">
        <v>69</v>
      </c>
      <c r="R65" s="2" t="s">
        <v>607</v>
      </c>
      <c r="S65" s="2" t="s">
        <v>608</v>
      </c>
      <c r="T65" s="2" t="s">
        <v>609</v>
      </c>
      <c r="U65" s="2" t="s">
        <v>67</v>
      </c>
      <c r="V65" s="2" t="s">
        <v>610</v>
      </c>
      <c r="W65" s="2" t="s">
        <v>611</v>
      </c>
      <c r="X65" s="2" t="s">
        <v>67</v>
      </c>
      <c r="Y65" s="2" t="s">
        <v>67</v>
      </c>
      <c r="Z65" s="2" t="s">
        <v>71</v>
      </c>
      <c r="AA65" s="2" t="s">
        <v>71</v>
      </c>
      <c r="AB65" s="2" t="s">
        <v>67</v>
      </c>
      <c r="AC65" s="2" t="s">
        <v>67</v>
      </c>
      <c r="AD65" s="2" t="s">
        <v>67</v>
      </c>
      <c r="AE65" s="2" t="s">
        <v>67</v>
      </c>
      <c r="AF65" s="2" t="s">
        <v>67</v>
      </c>
      <c r="AG65" s="2" t="s">
        <v>67</v>
      </c>
      <c r="AH65" s="2" t="s">
        <v>67</v>
      </c>
      <c r="AI65" s="2" t="s">
        <v>67</v>
      </c>
      <c r="AJ65" s="2" t="s">
        <v>67</v>
      </c>
      <c r="AK65" s="2" t="s">
        <v>612</v>
      </c>
      <c r="AL65" s="2" t="s">
        <v>142</v>
      </c>
      <c r="AM65" s="2" t="s">
        <v>73</v>
      </c>
    </row>
    <row r="66" spans="1:39" ht="409.6" x14ac:dyDescent="0.2">
      <c r="A66" s="1">
        <v>45869.535578703704</v>
      </c>
      <c r="B66" s="1">
        <v>45869.54210648148</v>
      </c>
      <c r="C66" s="2" t="s">
        <v>42</v>
      </c>
      <c r="D66" s="2" t="s">
        <v>338</v>
      </c>
      <c r="E66">
        <v>100</v>
      </c>
      <c r="F66">
        <v>563</v>
      </c>
      <c r="G66" s="2" t="s">
        <v>68</v>
      </c>
      <c r="H66" s="1">
        <v>45869.542117870369</v>
      </c>
      <c r="I66" s="2" t="s">
        <v>613</v>
      </c>
      <c r="J66" s="2" t="s">
        <v>67</v>
      </c>
      <c r="K66" s="2" t="s">
        <v>67</v>
      </c>
      <c r="L66" s="2" t="s">
        <v>67</v>
      </c>
      <c r="M66" s="2" t="s">
        <v>67</v>
      </c>
      <c r="N66">
        <v>43.072499999999998</v>
      </c>
      <c r="O66">
        <v>-89.449100000000001</v>
      </c>
      <c r="P66" s="2" t="s">
        <v>78</v>
      </c>
      <c r="Q66" s="2" t="s">
        <v>69</v>
      </c>
      <c r="R66" s="2" t="s">
        <v>614</v>
      </c>
      <c r="S66" s="2" t="s">
        <v>615</v>
      </c>
      <c r="T66" s="2" t="s">
        <v>616</v>
      </c>
      <c r="U66" s="2" t="s">
        <v>67</v>
      </c>
      <c r="V66" s="2" t="s">
        <v>237</v>
      </c>
      <c r="W66" s="2" t="s">
        <v>617</v>
      </c>
      <c r="X66" s="2" t="s">
        <v>67</v>
      </c>
      <c r="Y66" s="2" t="s">
        <v>67</v>
      </c>
      <c r="Z66" s="2" t="s">
        <v>74</v>
      </c>
      <c r="AA66" s="2" t="s">
        <v>74</v>
      </c>
      <c r="AB66" s="2" t="s">
        <v>67</v>
      </c>
      <c r="AC66" s="2" t="s">
        <v>67</v>
      </c>
      <c r="AD66" s="2" t="s">
        <v>67</v>
      </c>
      <c r="AE66" s="2" t="s">
        <v>618</v>
      </c>
      <c r="AF66" s="2" t="s">
        <v>619</v>
      </c>
      <c r="AG66" s="2" t="s">
        <v>620</v>
      </c>
      <c r="AH66" s="2" t="s">
        <v>621</v>
      </c>
      <c r="AI66" s="2" t="s">
        <v>622</v>
      </c>
      <c r="AJ66" s="2" t="s">
        <v>67</v>
      </c>
      <c r="AK66" s="2" t="s">
        <v>612</v>
      </c>
      <c r="AL66" s="2" t="s">
        <v>142</v>
      </c>
      <c r="AM66" s="2" t="s">
        <v>73</v>
      </c>
    </row>
    <row r="67" spans="1:39" ht="409.6" x14ac:dyDescent="0.2">
      <c r="A67" s="1">
        <v>45863.236678240741</v>
      </c>
      <c r="B67" s="1">
        <v>45863.243796296294</v>
      </c>
      <c r="C67" s="2" t="s">
        <v>42</v>
      </c>
      <c r="D67" s="2" t="s">
        <v>456</v>
      </c>
      <c r="E67">
        <v>88</v>
      </c>
      <c r="F67">
        <v>614</v>
      </c>
      <c r="G67" s="2" t="s">
        <v>80</v>
      </c>
      <c r="H67" s="1">
        <v>45870.243853043983</v>
      </c>
      <c r="I67" s="2" t="s">
        <v>623</v>
      </c>
      <c r="J67" s="2" t="s">
        <v>67</v>
      </c>
      <c r="K67" s="2" t="s">
        <v>67</v>
      </c>
      <c r="L67" s="2" t="s">
        <v>67</v>
      </c>
      <c r="M67" s="2" t="s">
        <v>67</v>
      </c>
      <c r="N67">
        <v>43.0334</v>
      </c>
      <c r="O67">
        <v>-89.4512</v>
      </c>
      <c r="P67" s="2" t="s">
        <v>78</v>
      </c>
      <c r="Q67" s="2" t="s">
        <v>69</v>
      </c>
      <c r="R67" s="2" t="s">
        <v>299</v>
      </c>
      <c r="S67" s="2" t="s">
        <v>300</v>
      </c>
      <c r="T67" s="2" t="s">
        <v>307</v>
      </c>
      <c r="U67" s="2" t="s">
        <v>302</v>
      </c>
      <c r="V67" s="2" t="s">
        <v>303</v>
      </c>
      <c r="W67" s="2" t="s">
        <v>309</v>
      </c>
      <c r="X67" s="2" t="s">
        <v>70</v>
      </c>
      <c r="Y67" s="2" t="s">
        <v>74</v>
      </c>
      <c r="Z67" s="2" t="s">
        <v>67</v>
      </c>
      <c r="AA67" s="2" t="s">
        <v>67</v>
      </c>
      <c r="AB67" s="2" t="s">
        <v>459</v>
      </c>
      <c r="AC67" s="2" t="s">
        <v>460</v>
      </c>
      <c r="AD67" s="2" t="s">
        <v>624</v>
      </c>
      <c r="AE67" s="2" t="s">
        <v>67</v>
      </c>
      <c r="AF67" s="2" t="s">
        <v>67</v>
      </c>
      <c r="AG67" s="2" t="s">
        <v>67</v>
      </c>
      <c r="AH67" s="2" t="s">
        <v>67</v>
      </c>
      <c r="AI67" s="2" t="s">
        <v>67</v>
      </c>
      <c r="AJ67" s="2" t="s">
        <v>67</v>
      </c>
      <c r="AK67" s="2" t="s">
        <v>455</v>
      </c>
      <c r="AL67" s="2" t="s">
        <v>142</v>
      </c>
      <c r="AM67" s="2" t="s">
        <v>73</v>
      </c>
    </row>
    <row r="68" spans="1:39" ht="80" x14ac:dyDescent="0.2">
      <c r="A68" s="1">
        <v>45863.590601851851</v>
      </c>
      <c r="B68" s="1">
        <v>45863.592222222222</v>
      </c>
      <c r="C68" s="2" t="s">
        <v>42</v>
      </c>
      <c r="D68" s="2" t="s">
        <v>625</v>
      </c>
      <c r="E68">
        <v>54</v>
      </c>
      <c r="F68">
        <v>140</v>
      </c>
      <c r="G68" s="2" t="s">
        <v>80</v>
      </c>
      <c r="H68" s="1">
        <v>45870.592271111112</v>
      </c>
      <c r="I68" s="2" t="s">
        <v>626</v>
      </c>
      <c r="J68" s="2" t="s">
        <v>67</v>
      </c>
      <c r="K68" s="2" t="s">
        <v>67</v>
      </c>
      <c r="L68" s="2" t="s">
        <v>67</v>
      </c>
      <c r="M68" s="2" t="s">
        <v>67</v>
      </c>
      <c r="N68">
        <v>43.072499999999998</v>
      </c>
      <c r="O68">
        <v>-89.449100000000001</v>
      </c>
      <c r="P68" s="2" t="s">
        <v>78</v>
      </c>
      <c r="Q68" s="2" t="s">
        <v>69</v>
      </c>
      <c r="R68" s="2" t="s">
        <v>627</v>
      </c>
      <c r="S68" s="2" t="s">
        <v>628</v>
      </c>
      <c r="T68" s="2" t="s">
        <v>629</v>
      </c>
      <c r="U68" s="2" t="s">
        <v>160</v>
      </c>
      <c r="V68" s="2" t="s">
        <v>630</v>
      </c>
      <c r="W68" s="2" t="s">
        <v>356</v>
      </c>
      <c r="X68" s="2" t="s">
        <v>70</v>
      </c>
      <c r="Y68" s="2" t="s">
        <v>71</v>
      </c>
      <c r="Z68" s="2" t="s">
        <v>67</v>
      </c>
      <c r="AA68" s="2" t="s">
        <v>67</v>
      </c>
      <c r="AB68" s="2" t="s">
        <v>67</v>
      </c>
      <c r="AC68" s="2" t="s">
        <v>67</v>
      </c>
      <c r="AD68" s="2" t="s">
        <v>67</v>
      </c>
      <c r="AE68" s="2" t="s">
        <v>67</v>
      </c>
      <c r="AF68" s="2" t="s">
        <v>67</v>
      </c>
      <c r="AG68" s="2" t="s">
        <v>67</v>
      </c>
      <c r="AH68" s="2" t="s">
        <v>67</v>
      </c>
      <c r="AI68" s="2" t="s">
        <v>67</v>
      </c>
      <c r="AJ68" s="2" t="s">
        <v>67</v>
      </c>
      <c r="AK68" s="2" t="s">
        <v>455</v>
      </c>
      <c r="AL68" s="2" t="s">
        <v>142</v>
      </c>
      <c r="AM68" s="2" t="s">
        <v>73</v>
      </c>
    </row>
    <row r="69" spans="1:39" ht="48" x14ac:dyDescent="0.2">
      <c r="A69" s="1">
        <v>45863.766018518516</v>
      </c>
      <c r="B69" s="1">
        <v>45863.766435185185</v>
      </c>
      <c r="C69" s="2" t="s">
        <v>42</v>
      </c>
      <c r="D69" s="2" t="s">
        <v>631</v>
      </c>
      <c r="E69">
        <v>54</v>
      </c>
      <c r="F69">
        <v>35</v>
      </c>
      <c r="G69" s="2" t="s">
        <v>80</v>
      </c>
      <c r="H69" s="1">
        <v>45870.766544085651</v>
      </c>
      <c r="I69" s="2" t="s">
        <v>632</v>
      </c>
      <c r="J69" s="2" t="s">
        <v>67</v>
      </c>
      <c r="K69" s="2" t="s">
        <v>67</v>
      </c>
      <c r="L69" s="2" t="s">
        <v>67</v>
      </c>
      <c r="M69" s="2" t="s">
        <v>67</v>
      </c>
      <c r="N69">
        <v>43.081200000000003</v>
      </c>
      <c r="O69">
        <v>-89.383799999999994</v>
      </c>
      <c r="P69" s="2" t="s">
        <v>78</v>
      </c>
      <c r="Q69" s="2" t="s">
        <v>69</v>
      </c>
      <c r="R69" s="2" t="s">
        <v>633</v>
      </c>
      <c r="S69" s="2" t="s">
        <v>633</v>
      </c>
      <c r="T69" s="2" t="s">
        <v>602</v>
      </c>
      <c r="U69" s="2" t="s">
        <v>633</v>
      </c>
      <c r="V69" s="2" t="s">
        <v>633</v>
      </c>
      <c r="W69" s="2" t="s">
        <v>633</v>
      </c>
      <c r="X69" s="2" t="s">
        <v>70</v>
      </c>
      <c r="Y69" s="2" t="s">
        <v>71</v>
      </c>
      <c r="Z69" s="2" t="s">
        <v>67</v>
      </c>
      <c r="AA69" s="2" t="s">
        <v>67</v>
      </c>
      <c r="AB69" s="2" t="s">
        <v>67</v>
      </c>
      <c r="AC69" s="2" t="s">
        <v>67</v>
      </c>
      <c r="AD69" s="2" t="s">
        <v>67</v>
      </c>
      <c r="AE69" s="2" t="s">
        <v>67</v>
      </c>
      <c r="AF69" s="2" t="s">
        <v>67</v>
      </c>
      <c r="AG69" s="2" t="s">
        <v>67</v>
      </c>
      <c r="AH69" s="2" t="s">
        <v>67</v>
      </c>
      <c r="AI69" s="2" t="s">
        <v>67</v>
      </c>
      <c r="AJ69" s="2" t="s">
        <v>67</v>
      </c>
      <c r="AK69" s="2" t="s">
        <v>455</v>
      </c>
      <c r="AL69" s="2" t="s">
        <v>142</v>
      </c>
      <c r="AM69" s="2" t="s">
        <v>73</v>
      </c>
    </row>
    <row r="70" spans="1:39" ht="48" x14ac:dyDescent="0.2">
      <c r="A70" s="1">
        <v>45863.986377314817</v>
      </c>
      <c r="B70" s="1">
        <v>45863.986805555556</v>
      </c>
      <c r="C70" s="2" t="s">
        <v>42</v>
      </c>
      <c r="D70" s="2" t="s">
        <v>634</v>
      </c>
      <c r="E70">
        <v>42</v>
      </c>
      <c r="F70">
        <v>37</v>
      </c>
      <c r="G70" s="2" t="s">
        <v>80</v>
      </c>
      <c r="H70" s="1">
        <v>45870.986821886574</v>
      </c>
      <c r="I70" s="2" t="s">
        <v>635</v>
      </c>
      <c r="J70" s="2" t="s">
        <v>67</v>
      </c>
      <c r="K70" s="2" t="s">
        <v>67</v>
      </c>
      <c r="L70" s="2" t="s">
        <v>67</v>
      </c>
      <c r="M70" s="2" t="s">
        <v>67</v>
      </c>
      <c r="N70">
        <v>43.072499999999998</v>
      </c>
      <c r="O70">
        <v>-89.449100000000001</v>
      </c>
      <c r="P70" s="2" t="s">
        <v>78</v>
      </c>
      <c r="Q70" s="2" t="s">
        <v>69</v>
      </c>
      <c r="R70" s="2" t="s">
        <v>636</v>
      </c>
      <c r="S70" s="2" t="s">
        <v>637</v>
      </c>
      <c r="T70" s="2" t="s">
        <v>638</v>
      </c>
      <c r="U70" s="2" t="s">
        <v>637</v>
      </c>
      <c r="V70" s="2" t="s">
        <v>637</v>
      </c>
      <c r="W70" s="2" t="s">
        <v>639</v>
      </c>
      <c r="X70" s="2" t="s">
        <v>67</v>
      </c>
      <c r="Y70" s="2" t="s">
        <v>67</v>
      </c>
      <c r="Z70" s="2" t="s">
        <v>67</v>
      </c>
      <c r="AA70" s="2" t="s">
        <v>67</v>
      </c>
      <c r="AB70" s="2" t="s">
        <v>67</v>
      </c>
      <c r="AC70" s="2" t="s">
        <v>67</v>
      </c>
      <c r="AD70" s="2" t="s">
        <v>67</v>
      </c>
      <c r="AE70" s="2" t="s">
        <v>67</v>
      </c>
      <c r="AF70" s="2" t="s">
        <v>67</v>
      </c>
      <c r="AG70" s="2" t="s">
        <v>67</v>
      </c>
      <c r="AH70" s="2" t="s">
        <v>67</v>
      </c>
      <c r="AI70" s="2" t="s">
        <v>67</v>
      </c>
      <c r="AJ70" s="2" t="s">
        <v>67</v>
      </c>
      <c r="AK70" s="2" t="s">
        <v>640</v>
      </c>
      <c r="AL70" s="2" t="s">
        <v>142</v>
      </c>
      <c r="AM70" s="2" t="s">
        <v>73</v>
      </c>
    </row>
    <row r="71" spans="1:39" ht="409.6" x14ac:dyDescent="0.2">
      <c r="A71" s="1">
        <v>45873.539375</v>
      </c>
      <c r="B71" s="1">
        <v>45873.55096064815</v>
      </c>
      <c r="C71" s="2" t="s">
        <v>42</v>
      </c>
      <c r="D71" s="2" t="s">
        <v>85</v>
      </c>
      <c r="E71">
        <v>100</v>
      </c>
      <c r="F71">
        <v>1001</v>
      </c>
      <c r="G71" s="2" t="s">
        <v>68</v>
      </c>
      <c r="H71" s="1">
        <v>45873.550968599535</v>
      </c>
      <c r="I71" s="2" t="s">
        <v>641</v>
      </c>
      <c r="J71" s="2" t="s">
        <v>67</v>
      </c>
      <c r="K71" s="2" t="s">
        <v>67</v>
      </c>
      <c r="L71" s="2" t="s">
        <v>67</v>
      </c>
      <c r="M71" s="2" t="s">
        <v>67</v>
      </c>
      <c r="N71">
        <v>43.072499999999998</v>
      </c>
      <c r="O71">
        <v>-89.449100000000001</v>
      </c>
      <c r="P71" s="2" t="s">
        <v>78</v>
      </c>
      <c r="Q71" s="2" t="s">
        <v>69</v>
      </c>
      <c r="R71" s="2" t="s">
        <v>490</v>
      </c>
      <c r="S71" s="2" t="s">
        <v>491</v>
      </c>
      <c r="T71" s="2" t="s">
        <v>492</v>
      </c>
      <c r="U71" s="2" t="s">
        <v>493</v>
      </c>
      <c r="V71" s="2" t="s">
        <v>494</v>
      </c>
      <c r="W71" s="2" t="s">
        <v>495</v>
      </c>
      <c r="X71" s="2" t="s">
        <v>67</v>
      </c>
      <c r="Y71" s="2" t="s">
        <v>67</v>
      </c>
      <c r="Z71" s="2" t="s">
        <v>74</v>
      </c>
      <c r="AA71" s="2" t="s">
        <v>71</v>
      </c>
      <c r="AB71" s="2" t="s">
        <v>67</v>
      </c>
      <c r="AC71" s="2" t="s">
        <v>67</v>
      </c>
      <c r="AD71" s="2" t="s">
        <v>67</v>
      </c>
      <c r="AE71" s="2" t="s">
        <v>642</v>
      </c>
      <c r="AF71" s="2" t="s">
        <v>643</v>
      </c>
      <c r="AG71" s="2" t="s">
        <v>644</v>
      </c>
      <c r="AH71" s="2" t="s">
        <v>67</v>
      </c>
      <c r="AI71" s="2" t="s">
        <v>67</v>
      </c>
      <c r="AJ71" s="2" t="s">
        <v>67</v>
      </c>
      <c r="AK71" s="2" t="s">
        <v>645</v>
      </c>
      <c r="AL71" s="2" t="s">
        <v>141</v>
      </c>
      <c r="AM71" s="2" t="s">
        <v>73</v>
      </c>
    </row>
    <row r="72" spans="1:39" ht="409.6" x14ac:dyDescent="0.2">
      <c r="A72" s="1">
        <v>45876.391377314816</v>
      </c>
      <c r="B72" s="1">
        <v>45876.399641203701</v>
      </c>
      <c r="C72" s="2" t="s">
        <v>42</v>
      </c>
      <c r="D72" s="2" t="s">
        <v>646</v>
      </c>
      <c r="E72">
        <v>100</v>
      </c>
      <c r="F72">
        <v>713</v>
      </c>
      <c r="G72" s="2" t="s">
        <v>68</v>
      </c>
      <c r="H72" s="1">
        <v>45876.399652569446</v>
      </c>
      <c r="I72" s="2" t="s">
        <v>647</v>
      </c>
      <c r="J72" s="2" t="s">
        <v>67</v>
      </c>
      <c r="K72" s="2" t="s">
        <v>67</v>
      </c>
      <c r="L72" s="2" t="s">
        <v>67</v>
      </c>
      <c r="M72" s="2" t="s">
        <v>67</v>
      </c>
      <c r="N72">
        <v>43.072499999999998</v>
      </c>
      <c r="O72">
        <v>-89.449100000000001</v>
      </c>
      <c r="P72" s="2" t="s">
        <v>78</v>
      </c>
      <c r="Q72" s="2" t="s">
        <v>69</v>
      </c>
      <c r="R72" s="2" t="s">
        <v>648</v>
      </c>
      <c r="S72" s="2" t="s">
        <v>649</v>
      </c>
      <c r="T72" s="2" t="s">
        <v>650</v>
      </c>
      <c r="U72" s="2" t="s">
        <v>67</v>
      </c>
      <c r="V72" s="2" t="s">
        <v>651</v>
      </c>
      <c r="W72" s="2" t="s">
        <v>652</v>
      </c>
      <c r="X72" s="2" t="s">
        <v>67</v>
      </c>
      <c r="Y72" s="2" t="s">
        <v>67</v>
      </c>
      <c r="Z72" s="2" t="s">
        <v>74</v>
      </c>
      <c r="AA72" s="2" t="s">
        <v>71</v>
      </c>
      <c r="AB72" s="2" t="s">
        <v>67</v>
      </c>
      <c r="AC72" s="2" t="s">
        <v>67</v>
      </c>
      <c r="AD72" s="2" t="s">
        <v>67</v>
      </c>
      <c r="AE72" s="2" t="s">
        <v>653</v>
      </c>
      <c r="AF72" s="2" t="s">
        <v>654</v>
      </c>
      <c r="AG72" s="2" t="s">
        <v>655</v>
      </c>
      <c r="AH72" s="2" t="s">
        <v>67</v>
      </c>
      <c r="AI72" s="2" t="s">
        <v>67</v>
      </c>
      <c r="AJ72" s="2" t="s">
        <v>67</v>
      </c>
      <c r="AK72" s="2" t="s">
        <v>142</v>
      </c>
      <c r="AL72" s="2" t="s">
        <v>141</v>
      </c>
      <c r="AM72" s="2" t="s">
        <v>73</v>
      </c>
    </row>
    <row r="73" spans="1:39" ht="409.6" x14ac:dyDescent="0.2">
      <c r="A73" s="1">
        <v>45880.42863425926</v>
      </c>
      <c r="B73" s="1">
        <v>45880.432233796295</v>
      </c>
      <c r="C73" s="2" t="s">
        <v>42</v>
      </c>
      <c r="D73" s="2" t="s">
        <v>625</v>
      </c>
      <c r="E73">
        <v>100</v>
      </c>
      <c r="F73">
        <v>310</v>
      </c>
      <c r="G73" s="2" t="s">
        <v>68</v>
      </c>
      <c r="H73" s="1">
        <v>45880.432239849535</v>
      </c>
      <c r="I73" s="2" t="s">
        <v>656</v>
      </c>
      <c r="J73" s="2" t="s">
        <v>67</v>
      </c>
      <c r="K73" s="2" t="s">
        <v>67</v>
      </c>
      <c r="L73" s="2" t="s">
        <v>67</v>
      </c>
      <c r="M73" s="2" t="s">
        <v>67</v>
      </c>
      <c r="N73">
        <v>43.072499999999998</v>
      </c>
      <c r="O73">
        <v>-89.449100000000001</v>
      </c>
      <c r="P73" s="2" t="s">
        <v>78</v>
      </c>
      <c r="Q73" s="2" t="s">
        <v>69</v>
      </c>
      <c r="R73" s="2" t="s">
        <v>627</v>
      </c>
      <c r="S73" s="2" t="s">
        <v>628</v>
      </c>
      <c r="T73" s="2" t="s">
        <v>657</v>
      </c>
      <c r="U73" s="2" t="s">
        <v>90</v>
      </c>
      <c r="V73" s="2" t="s">
        <v>658</v>
      </c>
      <c r="W73" s="2" t="s">
        <v>356</v>
      </c>
      <c r="X73" s="2" t="s">
        <v>67</v>
      </c>
      <c r="Y73" s="2" t="s">
        <v>67</v>
      </c>
      <c r="Z73" s="2" t="s">
        <v>74</v>
      </c>
      <c r="AA73" s="2" t="s">
        <v>71</v>
      </c>
      <c r="AB73" s="2" t="s">
        <v>67</v>
      </c>
      <c r="AC73" s="2" t="s">
        <v>67</v>
      </c>
      <c r="AD73" s="2" t="s">
        <v>67</v>
      </c>
      <c r="AE73" s="2" t="s">
        <v>659</v>
      </c>
      <c r="AF73" s="2" t="s">
        <v>660</v>
      </c>
      <c r="AG73" s="2" t="s">
        <v>661</v>
      </c>
      <c r="AH73" s="2" t="s">
        <v>67</v>
      </c>
      <c r="AI73" s="2" t="s">
        <v>67</v>
      </c>
      <c r="AJ73" s="2" t="s">
        <v>67</v>
      </c>
      <c r="AK73" s="2" t="s">
        <v>83</v>
      </c>
      <c r="AL73" s="2" t="s">
        <v>141</v>
      </c>
      <c r="AM73" s="2" t="s">
        <v>73</v>
      </c>
    </row>
    <row r="74" spans="1:39" ht="64" x14ac:dyDescent="0.2">
      <c r="A74" s="1">
        <v>45870.400590277779</v>
      </c>
      <c r="B74" s="1">
        <v>45875.431527777779</v>
      </c>
      <c r="C74" s="2" t="s">
        <v>42</v>
      </c>
      <c r="D74" s="2" t="s">
        <v>662</v>
      </c>
      <c r="E74">
        <v>71</v>
      </c>
      <c r="F74">
        <v>434673</v>
      </c>
      <c r="G74" s="2" t="s">
        <v>80</v>
      </c>
      <c r="H74" s="1">
        <v>45882.431552002316</v>
      </c>
      <c r="I74" s="2" t="s">
        <v>663</v>
      </c>
      <c r="J74" s="2" t="s">
        <v>67</v>
      </c>
      <c r="K74" s="2" t="s">
        <v>67</v>
      </c>
      <c r="L74" s="2" t="s">
        <v>67</v>
      </c>
      <c r="M74" s="2" t="s">
        <v>67</v>
      </c>
      <c r="N74">
        <v>43.081200000000003</v>
      </c>
      <c r="O74">
        <v>-89.383799999999994</v>
      </c>
      <c r="P74" s="2" t="s">
        <v>78</v>
      </c>
      <c r="Q74" s="2" t="s">
        <v>69</v>
      </c>
      <c r="R74" s="2" t="s">
        <v>664</v>
      </c>
      <c r="S74" s="2" t="s">
        <v>665</v>
      </c>
      <c r="T74" s="2" t="s">
        <v>666</v>
      </c>
      <c r="U74" s="2" t="s">
        <v>67</v>
      </c>
      <c r="V74" s="2" t="s">
        <v>667</v>
      </c>
      <c r="W74" s="2" t="s">
        <v>668</v>
      </c>
      <c r="X74" s="2" t="s">
        <v>67</v>
      </c>
      <c r="Y74" s="2" t="s">
        <v>67</v>
      </c>
      <c r="Z74" s="2" t="s">
        <v>74</v>
      </c>
      <c r="AA74" s="2" t="s">
        <v>71</v>
      </c>
      <c r="AB74" s="2" t="s">
        <v>67</v>
      </c>
      <c r="AC74" s="2" t="s">
        <v>67</v>
      </c>
      <c r="AD74" s="2" t="s">
        <v>67</v>
      </c>
      <c r="AE74" s="2" t="s">
        <v>67</v>
      </c>
      <c r="AF74" s="2" t="s">
        <v>67</v>
      </c>
      <c r="AG74" s="2" t="s">
        <v>67</v>
      </c>
      <c r="AH74" s="2" t="s">
        <v>67</v>
      </c>
      <c r="AI74" s="2" t="s">
        <v>67</v>
      </c>
      <c r="AJ74" s="2" t="s">
        <v>67</v>
      </c>
      <c r="AK74" s="2" t="s">
        <v>669</v>
      </c>
      <c r="AL74" s="2" t="s">
        <v>141</v>
      </c>
      <c r="AM74" s="2" t="s">
        <v>73</v>
      </c>
    </row>
    <row r="75" spans="1:39" ht="409.6" x14ac:dyDescent="0.2">
      <c r="A75" s="1">
        <v>45882.342731481483</v>
      </c>
      <c r="B75" s="1">
        <v>45882.574780092589</v>
      </c>
      <c r="C75" s="2" t="s">
        <v>42</v>
      </c>
      <c r="D75" s="2" t="s">
        <v>670</v>
      </c>
      <c r="E75">
        <v>100</v>
      </c>
      <c r="F75">
        <v>20048</v>
      </c>
      <c r="G75" s="2" t="s">
        <v>68</v>
      </c>
      <c r="H75" s="1">
        <v>45882.574787337966</v>
      </c>
      <c r="I75" s="2" t="s">
        <v>671</v>
      </c>
      <c r="J75" s="2" t="s">
        <v>67</v>
      </c>
      <c r="K75" s="2" t="s">
        <v>67</v>
      </c>
      <c r="L75" s="2" t="s">
        <v>67</v>
      </c>
      <c r="M75" s="2" t="s">
        <v>67</v>
      </c>
      <c r="N75">
        <v>43.072499999999998</v>
      </c>
      <c r="O75">
        <v>-89.449100000000001</v>
      </c>
      <c r="P75" s="2" t="s">
        <v>78</v>
      </c>
      <c r="Q75" s="2" t="s">
        <v>69</v>
      </c>
      <c r="R75" s="2" t="s">
        <v>672</v>
      </c>
      <c r="S75" s="2" t="s">
        <v>673</v>
      </c>
      <c r="T75" s="2" t="s">
        <v>674</v>
      </c>
      <c r="U75" s="2" t="s">
        <v>90</v>
      </c>
      <c r="V75" s="2" t="s">
        <v>675</v>
      </c>
      <c r="W75" s="2" t="s">
        <v>676</v>
      </c>
      <c r="X75" s="2" t="s">
        <v>67</v>
      </c>
      <c r="Y75" s="2" t="s">
        <v>67</v>
      </c>
      <c r="Z75" s="2" t="s">
        <v>74</v>
      </c>
      <c r="AA75" s="2" t="s">
        <v>71</v>
      </c>
      <c r="AB75" s="2" t="s">
        <v>67</v>
      </c>
      <c r="AC75" s="2" t="s">
        <v>67</v>
      </c>
      <c r="AD75" s="2" t="s">
        <v>67</v>
      </c>
      <c r="AE75" s="2" t="s">
        <v>677</v>
      </c>
      <c r="AF75" s="2" t="s">
        <v>678</v>
      </c>
      <c r="AG75" s="2" t="s">
        <v>679</v>
      </c>
      <c r="AH75" s="2" t="s">
        <v>67</v>
      </c>
      <c r="AI75" s="2" t="s">
        <v>67</v>
      </c>
      <c r="AJ75" s="2" t="s">
        <v>67</v>
      </c>
      <c r="AK75" s="2" t="s">
        <v>680</v>
      </c>
      <c r="AL75" s="2" t="s">
        <v>141</v>
      </c>
      <c r="AM75" s="2" t="s">
        <v>73</v>
      </c>
    </row>
    <row r="76" spans="1:39" ht="128" x14ac:dyDescent="0.2">
      <c r="A76" s="1">
        <v>45884.441851851851</v>
      </c>
      <c r="B76" s="1">
        <v>45884.461770833332</v>
      </c>
      <c r="C76" s="2" t="s">
        <v>42</v>
      </c>
      <c r="D76" s="2" t="s">
        <v>681</v>
      </c>
      <c r="E76">
        <v>100</v>
      </c>
      <c r="F76">
        <v>1721</v>
      </c>
      <c r="G76" s="2" t="s">
        <v>68</v>
      </c>
      <c r="H76" s="1">
        <v>45884.461782789353</v>
      </c>
      <c r="I76" s="2" t="s">
        <v>682</v>
      </c>
      <c r="J76" s="2" t="s">
        <v>67</v>
      </c>
      <c r="K76" s="2" t="s">
        <v>67</v>
      </c>
      <c r="L76" s="2" t="s">
        <v>67</v>
      </c>
      <c r="M76" s="2" t="s">
        <v>67</v>
      </c>
      <c r="N76">
        <v>43.072499999999998</v>
      </c>
      <c r="O76">
        <v>-89.449100000000001</v>
      </c>
      <c r="P76" s="2" t="s">
        <v>78</v>
      </c>
      <c r="Q76" s="2" t="s">
        <v>69</v>
      </c>
      <c r="R76" s="2" t="s">
        <v>683</v>
      </c>
      <c r="S76" s="2" t="s">
        <v>684</v>
      </c>
      <c r="T76" s="2" t="s">
        <v>685</v>
      </c>
      <c r="U76" s="2" t="s">
        <v>218</v>
      </c>
      <c r="V76" s="2" t="s">
        <v>686</v>
      </c>
      <c r="W76" s="2" t="s">
        <v>149</v>
      </c>
      <c r="X76" s="2" t="s">
        <v>67</v>
      </c>
      <c r="Y76" s="2" t="s">
        <v>67</v>
      </c>
      <c r="Z76" s="2" t="s">
        <v>74</v>
      </c>
      <c r="AA76" s="2" t="s">
        <v>71</v>
      </c>
      <c r="AB76" s="2" t="s">
        <v>67</v>
      </c>
      <c r="AC76" s="2" t="s">
        <v>67</v>
      </c>
      <c r="AD76" s="2" t="s">
        <v>67</v>
      </c>
      <c r="AE76" s="2" t="s">
        <v>687</v>
      </c>
      <c r="AF76" s="2" t="s">
        <v>688</v>
      </c>
      <c r="AG76" s="2" t="s">
        <v>689</v>
      </c>
      <c r="AH76" s="2" t="s">
        <v>67</v>
      </c>
      <c r="AI76" s="2" t="s">
        <v>67</v>
      </c>
      <c r="AJ76" s="2" t="s">
        <v>67</v>
      </c>
      <c r="AK76" s="2" t="s">
        <v>72</v>
      </c>
      <c r="AL76" s="2" t="s">
        <v>141</v>
      </c>
      <c r="AM76" s="2" t="s">
        <v>73</v>
      </c>
    </row>
    <row r="77" spans="1:39" ht="409.6" x14ac:dyDescent="0.2">
      <c r="A77" s="1">
        <v>45886.30841435185</v>
      </c>
      <c r="B77" s="1">
        <v>45886.41978009259</v>
      </c>
      <c r="C77" s="2" t="s">
        <v>42</v>
      </c>
      <c r="D77" s="2" t="s">
        <v>591</v>
      </c>
      <c r="E77">
        <v>100</v>
      </c>
      <c r="F77">
        <v>9622</v>
      </c>
      <c r="G77" s="2" t="s">
        <v>68</v>
      </c>
      <c r="H77" s="1">
        <v>45886.419787812498</v>
      </c>
      <c r="I77" s="2" t="s">
        <v>690</v>
      </c>
      <c r="J77" s="2" t="s">
        <v>67</v>
      </c>
      <c r="K77" s="2" t="s">
        <v>67</v>
      </c>
      <c r="L77" s="2" t="s">
        <v>67</v>
      </c>
      <c r="M77" s="2" t="s">
        <v>67</v>
      </c>
      <c r="N77">
        <v>43.072499999999998</v>
      </c>
      <c r="O77">
        <v>-89.449100000000001</v>
      </c>
      <c r="P77" s="2" t="s">
        <v>78</v>
      </c>
      <c r="Q77" s="2" t="s">
        <v>69</v>
      </c>
      <c r="R77" s="2" t="s">
        <v>691</v>
      </c>
      <c r="S77" s="2" t="s">
        <v>692</v>
      </c>
      <c r="T77" s="2" t="s">
        <v>693</v>
      </c>
      <c r="U77" s="2" t="s">
        <v>694</v>
      </c>
      <c r="V77" s="2" t="s">
        <v>695</v>
      </c>
      <c r="W77" s="2" t="s">
        <v>696</v>
      </c>
      <c r="X77" s="2" t="s">
        <v>67</v>
      </c>
      <c r="Y77" s="2" t="s">
        <v>67</v>
      </c>
      <c r="Z77" s="2" t="s">
        <v>74</v>
      </c>
      <c r="AA77" s="2" t="s">
        <v>71</v>
      </c>
      <c r="AB77" s="2" t="s">
        <v>67</v>
      </c>
      <c r="AC77" s="2" t="s">
        <v>67</v>
      </c>
      <c r="AD77" s="2" t="s">
        <v>67</v>
      </c>
      <c r="AE77" s="2" t="s">
        <v>697</v>
      </c>
      <c r="AF77" s="2" t="s">
        <v>698</v>
      </c>
      <c r="AG77" s="2" t="s">
        <v>699</v>
      </c>
      <c r="AH77" s="2" t="s">
        <v>67</v>
      </c>
      <c r="AI77" s="2" t="s">
        <v>67</v>
      </c>
      <c r="AJ77" s="2" t="s">
        <v>67</v>
      </c>
      <c r="AK77" s="2" t="s">
        <v>700</v>
      </c>
      <c r="AL77" s="2" t="s">
        <v>141</v>
      </c>
      <c r="AM77" s="2" t="s">
        <v>73</v>
      </c>
    </row>
    <row r="78" spans="1:39" ht="409.6" x14ac:dyDescent="0.2">
      <c r="A78" s="1">
        <v>45886.890752314815</v>
      </c>
      <c r="B78" s="1">
        <v>45886.894571759258</v>
      </c>
      <c r="C78" s="2" t="s">
        <v>42</v>
      </c>
      <c r="D78" s="2" t="s">
        <v>701</v>
      </c>
      <c r="E78">
        <v>100</v>
      </c>
      <c r="F78">
        <v>329</v>
      </c>
      <c r="G78" s="2" t="s">
        <v>68</v>
      </c>
      <c r="H78" s="1">
        <v>45886.894581851855</v>
      </c>
      <c r="I78" s="2" t="s">
        <v>702</v>
      </c>
      <c r="J78" s="2" t="s">
        <v>67</v>
      </c>
      <c r="K78" s="2" t="s">
        <v>67</v>
      </c>
      <c r="L78" s="2" t="s">
        <v>67</v>
      </c>
      <c r="M78" s="2" t="s">
        <v>67</v>
      </c>
      <c r="N78">
        <v>43.072499999999998</v>
      </c>
      <c r="O78">
        <v>-89.449100000000001</v>
      </c>
      <c r="P78" s="2" t="s">
        <v>78</v>
      </c>
      <c r="Q78" s="2" t="s">
        <v>69</v>
      </c>
      <c r="R78" s="2" t="s">
        <v>703</v>
      </c>
      <c r="S78" s="2" t="s">
        <v>704</v>
      </c>
      <c r="T78" s="2" t="s">
        <v>705</v>
      </c>
      <c r="U78" s="2" t="s">
        <v>706</v>
      </c>
      <c r="V78" s="2" t="s">
        <v>325</v>
      </c>
      <c r="W78" s="2" t="s">
        <v>707</v>
      </c>
      <c r="X78" s="2" t="s">
        <v>67</v>
      </c>
      <c r="Y78" s="2" t="s">
        <v>67</v>
      </c>
      <c r="Z78" s="2" t="s">
        <v>74</v>
      </c>
      <c r="AA78" s="2" t="s">
        <v>74</v>
      </c>
      <c r="AB78" s="2" t="s">
        <v>67</v>
      </c>
      <c r="AC78" s="2" t="s">
        <v>67</v>
      </c>
      <c r="AD78" s="2" t="s">
        <v>67</v>
      </c>
      <c r="AE78" s="2" t="s">
        <v>708</v>
      </c>
      <c r="AF78" s="2" t="s">
        <v>709</v>
      </c>
      <c r="AG78" s="2" t="s">
        <v>710</v>
      </c>
      <c r="AH78" s="2" t="s">
        <v>706</v>
      </c>
      <c r="AI78" s="2" t="s">
        <v>706</v>
      </c>
      <c r="AJ78" s="2" t="s">
        <v>67</v>
      </c>
      <c r="AK78" s="2" t="s">
        <v>700</v>
      </c>
      <c r="AL78" s="2" t="s">
        <v>141</v>
      </c>
      <c r="AM78" s="2" t="s">
        <v>73</v>
      </c>
    </row>
    <row r="79" spans="1:39" ht="409.6" x14ac:dyDescent="0.2">
      <c r="A79" s="1">
        <v>45887.371990740743</v>
      </c>
      <c r="B79" s="1">
        <v>45887.373703703706</v>
      </c>
      <c r="C79" s="2" t="s">
        <v>42</v>
      </c>
      <c r="D79" s="2" t="s">
        <v>711</v>
      </c>
      <c r="E79">
        <v>100</v>
      </c>
      <c r="F79">
        <v>148</v>
      </c>
      <c r="G79" s="2" t="s">
        <v>68</v>
      </c>
      <c r="H79" s="1">
        <v>45887.37371310185</v>
      </c>
      <c r="I79" s="2" t="s">
        <v>712</v>
      </c>
      <c r="J79" s="2" t="s">
        <v>67</v>
      </c>
      <c r="K79" s="2" t="s">
        <v>67</v>
      </c>
      <c r="L79" s="2" t="s">
        <v>67</v>
      </c>
      <c r="M79" s="2" t="s">
        <v>67</v>
      </c>
      <c r="N79">
        <v>43.605899999999998</v>
      </c>
      <c r="O79">
        <v>-88.269900000000007</v>
      </c>
      <c r="P79" s="2" t="s">
        <v>78</v>
      </c>
      <c r="Q79" s="2" t="s">
        <v>69</v>
      </c>
      <c r="R79" s="2" t="s">
        <v>713</v>
      </c>
      <c r="S79" s="2" t="s">
        <v>714</v>
      </c>
      <c r="T79" s="2" t="s">
        <v>715</v>
      </c>
      <c r="U79" s="2" t="s">
        <v>125</v>
      </c>
      <c r="V79" s="2" t="s">
        <v>126</v>
      </c>
      <c r="W79" s="2" t="s">
        <v>533</v>
      </c>
      <c r="X79" s="2" t="s">
        <v>67</v>
      </c>
      <c r="Y79" s="2" t="s">
        <v>67</v>
      </c>
      <c r="Z79" s="2" t="s">
        <v>74</v>
      </c>
      <c r="AA79" s="2" t="s">
        <v>71</v>
      </c>
      <c r="AB79" s="2" t="s">
        <v>67</v>
      </c>
      <c r="AC79" s="2" t="s">
        <v>67</v>
      </c>
      <c r="AD79" s="2" t="s">
        <v>67</v>
      </c>
      <c r="AE79" s="2" t="s">
        <v>716</v>
      </c>
      <c r="AF79" s="2" t="s">
        <v>717</v>
      </c>
      <c r="AG79" s="2" t="s">
        <v>718</v>
      </c>
      <c r="AH79" s="2" t="s">
        <v>67</v>
      </c>
      <c r="AI79" s="2" t="s">
        <v>67</v>
      </c>
      <c r="AJ79" s="2" t="s">
        <v>67</v>
      </c>
      <c r="AK79" s="2" t="s">
        <v>719</v>
      </c>
      <c r="AL79" s="2" t="s">
        <v>141</v>
      </c>
      <c r="AM79" s="2" t="s">
        <v>73</v>
      </c>
    </row>
    <row r="80" spans="1:39" ht="409.6" x14ac:dyDescent="0.2">
      <c r="A80" s="1">
        <v>45887.405844907407</v>
      </c>
      <c r="B80" s="1">
        <v>45887.495046296295</v>
      </c>
      <c r="C80" s="2" t="s">
        <v>42</v>
      </c>
      <c r="D80" s="2" t="s">
        <v>720</v>
      </c>
      <c r="E80">
        <v>100</v>
      </c>
      <c r="F80">
        <v>7706</v>
      </c>
      <c r="G80" s="2" t="s">
        <v>68</v>
      </c>
      <c r="H80" s="1">
        <v>45887.495054155093</v>
      </c>
      <c r="I80" s="2" t="s">
        <v>721</v>
      </c>
      <c r="J80" s="2" t="s">
        <v>67</v>
      </c>
      <c r="K80" s="2" t="s">
        <v>67</v>
      </c>
      <c r="L80" s="2" t="s">
        <v>67</v>
      </c>
      <c r="M80" s="2" t="s">
        <v>67</v>
      </c>
      <c r="N80">
        <v>43.072499999999998</v>
      </c>
      <c r="O80">
        <v>-89.449100000000001</v>
      </c>
      <c r="P80" s="2" t="s">
        <v>78</v>
      </c>
      <c r="Q80" s="2" t="s">
        <v>69</v>
      </c>
      <c r="R80" s="2" t="s">
        <v>722</v>
      </c>
      <c r="S80" s="2" t="s">
        <v>723</v>
      </c>
      <c r="T80" s="2" t="s">
        <v>724</v>
      </c>
      <c r="U80" s="2" t="s">
        <v>725</v>
      </c>
      <c r="V80" s="2" t="s">
        <v>82</v>
      </c>
      <c r="W80" s="2" t="s">
        <v>676</v>
      </c>
      <c r="X80" s="2" t="s">
        <v>67</v>
      </c>
      <c r="Y80" s="2" t="s">
        <v>67</v>
      </c>
      <c r="Z80" s="2" t="s">
        <v>74</v>
      </c>
      <c r="AA80" s="2" t="s">
        <v>71</v>
      </c>
      <c r="AB80" s="2" t="s">
        <v>67</v>
      </c>
      <c r="AC80" s="2" t="s">
        <v>67</v>
      </c>
      <c r="AD80" s="2" t="s">
        <v>67</v>
      </c>
      <c r="AE80" s="2" t="s">
        <v>726</v>
      </c>
      <c r="AF80" s="2" t="s">
        <v>727</v>
      </c>
      <c r="AG80" s="2" t="s">
        <v>728</v>
      </c>
      <c r="AH80" s="2" t="s">
        <v>67</v>
      </c>
      <c r="AI80" s="2" t="s">
        <v>67</v>
      </c>
      <c r="AJ80" s="2" t="s">
        <v>67</v>
      </c>
      <c r="AK80" s="2" t="s">
        <v>719</v>
      </c>
      <c r="AL80" s="2" t="s">
        <v>141</v>
      </c>
      <c r="AM80" s="2" t="s">
        <v>73</v>
      </c>
    </row>
    <row r="81" spans="1:39" ht="409.6" x14ac:dyDescent="0.2">
      <c r="A81" s="1">
        <v>45887.662395833337</v>
      </c>
      <c r="B81" s="1">
        <v>45887.664305555554</v>
      </c>
      <c r="C81" s="2" t="s">
        <v>42</v>
      </c>
      <c r="D81" s="2" t="s">
        <v>729</v>
      </c>
      <c r="E81">
        <v>100</v>
      </c>
      <c r="F81">
        <v>164</v>
      </c>
      <c r="G81" s="2" t="s">
        <v>68</v>
      </c>
      <c r="H81" s="1">
        <v>45887.664319826392</v>
      </c>
      <c r="I81" s="2" t="s">
        <v>730</v>
      </c>
      <c r="J81" s="2" t="s">
        <v>67</v>
      </c>
      <c r="K81" s="2" t="s">
        <v>67</v>
      </c>
      <c r="L81" s="2" t="s">
        <v>67</v>
      </c>
      <c r="M81" s="2" t="s">
        <v>67</v>
      </c>
      <c r="N81">
        <v>34.157600000000002</v>
      </c>
      <c r="O81">
        <v>-118.2675</v>
      </c>
      <c r="P81" s="2" t="s">
        <v>78</v>
      </c>
      <c r="Q81" s="2" t="s">
        <v>69</v>
      </c>
      <c r="R81" s="2" t="s">
        <v>731</v>
      </c>
      <c r="S81" s="2" t="s">
        <v>732</v>
      </c>
      <c r="T81" s="2" t="s">
        <v>733</v>
      </c>
      <c r="U81" s="2" t="s">
        <v>67</v>
      </c>
      <c r="V81" s="2" t="s">
        <v>237</v>
      </c>
      <c r="W81" s="2" t="s">
        <v>734</v>
      </c>
      <c r="X81" s="2" t="s">
        <v>67</v>
      </c>
      <c r="Y81" s="2" t="s">
        <v>67</v>
      </c>
      <c r="Z81" s="2" t="s">
        <v>74</v>
      </c>
      <c r="AA81" s="2" t="s">
        <v>71</v>
      </c>
      <c r="AB81" s="2" t="s">
        <v>67</v>
      </c>
      <c r="AC81" s="2" t="s">
        <v>67</v>
      </c>
      <c r="AD81" s="2" t="s">
        <v>67</v>
      </c>
      <c r="AE81" s="2" t="s">
        <v>735</v>
      </c>
      <c r="AF81" s="2" t="s">
        <v>736</v>
      </c>
      <c r="AG81" s="2" t="s">
        <v>737</v>
      </c>
      <c r="AH81" s="2" t="s">
        <v>67</v>
      </c>
      <c r="AI81" s="2" t="s">
        <v>67</v>
      </c>
      <c r="AJ81" s="2" t="s">
        <v>67</v>
      </c>
      <c r="AK81" s="2" t="s">
        <v>719</v>
      </c>
      <c r="AL81" s="2" t="s">
        <v>141</v>
      </c>
      <c r="AM81" s="2" t="s">
        <v>73</v>
      </c>
    </row>
    <row r="82" spans="1:39" ht="409.6" x14ac:dyDescent="0.2">
      <c r="A82" s="1">
        <v>45888.276631944442</v>
      </c>
      <c r="B82" s="1">
        <v>45888.283020833333</v>
      </c>
      <c r="C82" s="2" t="s">
        <v>42</v>
      </c>
      <c r="D82" s="2" t="s">
        <v>738</v>
      </c>
      <c r="E82">
        <v>100</v>
      </c>
      <c r="F82">
        <v>551</v>
      </c>
      <c r="G82" s="2" t="s">
        <v>68</v>
      </c>
      <c r="H82" s="1">
        <v>45888.283026134261</v>
      </c>
      <c r="I82" s="2" t="s">
        <v>739</v>
      </c>
      <c r="J82" s="2" t="s">
        <v>67</v>
      </c>
      <c r="K82" s="2" t="s">
        <v>67</v>
      </c>
      <c r="L82" s="2" t="s">
        <v>67</v>
      </c>
      <c r="M82" s="2" t="s">
        <v>67</v>
      </c>
      <c r="N82">
        <v>42.681899999999999</v>
      </c>
      <c r="O82">
        <v>-89.128100000000003</v>
      </c>
      <c r="P82" s="2" t="s">
        <v>78</v>
      </c>
      <c r="Q82" s="2" t="s">
        <v>69</v>
      </c>
      <c r="R82" s="2" t="s">
        <v>740</v>
      </c>
      <c r="S82" s="2" t="s">
        <v>741</v>
      </c>
      <c r="T82" s="2" t="s">
        <v>742</v>
      </c>
      <c r="U82" s="2" t="s">
        <v>67</v>
      </c>
      <c r="V82" s="2" t="s">
        <v>82</v>
      </c>
      <c r="W82" s="2" t="s">
        <v>394</v>
      </c>
      <c r="X82" s="2" t="s">
        <v>67</v>
      </c>
      <c r="Y82" s="2" t="s">
        <v>67</v>
      </c>
      <c r="Z82" s="2" t="s">
        <v>74</v>
      </c>
      <c r="AA82" s="2" t="s">
        <v>71</v>
      </c>
      <c r="AB82" s="2" t="s">
        <v>67</v>
      </c>
      <c r="AC82" s="2" t="s">
        <v>67</v>
      </c>
      <c r="AD82" s="2" t="s">
        <v>67</v>
      </c>
      <c r="AE82" s="2" t="s">
        <v>743</v>
      </c>
      <c r="AF82" s="2" t="s">
        <v>744</v>
      </c>
      <c r="AG82" s="2" t="s">
        <v>745</v>
      </c>
      <c r="AH82" s="2" t="s">
        <v>67</v>
      </c>
      <c r="AI82" s="2" t="s">
        <v>67</v>
      </c>
      <c r="AJ82" s="2" t="s">
        <v>67</v>
      </c>
      <c r="AK82" s="2" t="s">
        <v>79</v>
      </c>
      <c r="AL82" s="2" t="s">
        <v>141</v>
      </c>
      <c r="AM82" s="2" t="s">
        <v>73</v>
      </c>
    </row>
    <row r="83" spans="1:39" ht="409.6" x14ac:dyDescent="0.2">
      <c r="A83" s="1">
        <v>45888.443101851852</v>
      </c>
      <c r="B83" s="1">
        <v>45888.447569444441</v>
      </c>
      <c r="C83" s="2" t="s">
        <v>42</v>
      </c>
      <c r="D83" s="2" t="s">
        <v>426</v>
      </c>
      <c r="E83">
        <v>100</v>
      </c>
      <c r="F83">
        <v>385</v>
      </c>
      <c r="G83" s="2" t="s">
        <v>68</v>
      </c>
      <c r="H83" s="1">
        <v>45888.447581493056</v>
      </c>
      <c r="I83" s="2" t="s">
        <v>746</v>
      </c>
      <c r="J83" s="2" t="s">
        <v>67</v>
      </c>
      <c r="K83" s="2" t="s">
        <v>67</v>
      </c>
      <c r="L83" s="2" t="s">
        <v>67</v>
      </c>
      <c r="M83" s="2" t="s">
        <v>67</v>
      </c>
      <c r="N83">
        <v>43.072499999999998</v>
      </c>
      <c r="O83">
        <v>-89.449100000000001</v>
      </c>
      <c r="P83" s="2" t="s">
        <v>78</v>
      </c>
      <c r="Q83" s="2" t="s">
        <v>69</v>
      </c>
      <c r="R83" s="2" t="s">
        <v>428</v>
      </c>
      <c r="S83" s="2" t="s">
        <v>429</v>
      </c>
      <c r="T83" s="2" t="s">
        <v>430</v>
      </c>
      <c r="U83" s="2" t="s">
        <v>747</v>
      </c>
      <c r="V83" s="2" t="s">
        <v>450</v>
      </c>
      <c r="W83" s="2" t="s">
        <v>748</v>
      </c>
      <c r="X83" s="2" t="s">
        <v>67</v>
      </c>
      <c r="Y83" s="2" t="s">
        <v>67</v>
      </c>
      <c r="Z83" s="2" t="s">
        <v>74</v>
      </c>
      <c r="AA83" s="2" t="s">
        <v>71</v>
      </c>
      <c r="AB83" s="2" t="s">
        <v>67</v>
      </c>
      <c r="AC83" s="2" t="s">
        <v>67</v>
      </c>
      <c r="AD83" s="2" t="s">
        <v>67</v>
      </c>
      <c r="AE83" s="2" t="s">
        <v>434</v>
      </c>
      <c r="AF83" s="2" t="s">
        <v>749</v>
      </c>
      <c r="AG83" s="2" t="s">
        <v>435</v>
      </c>
      <c r="AH83" s="2" t="s">
        <v>67</v>
      </c>
      <c r="AI83" s="2" t="s">
        <v>67</v>
      </c>
      <c r="AJ83" s="2" t="s">
        <v>67</v>
      </c>
      <c r="AK83" s="2" t="s">
        <v>79</v>
      </c>
      <c r="AL83" s="2" t="s">
        <v>141</v>
      </c>
      <c r="AM83" s="2" t="s">
        <v>73</v>
      </c>
    </row>
    <row r="84" spans="1:39" ht="409.6" x14ac:dyDescent="0.2">
      <c r="A84" s="1">
        <v>45888.475648148145</v>
      </c>
      <c r="B84" s="1">
        <v>45888.48238425926</v>
      </c>
      <c r="C84" s="2" t="s">
        <v>42</v>
      </c>
      <c r="D84" s="2" t="s">
        <v>750</v>
      </c>
      <c r="E84">
        <v>100</v>
      </c>
      <c r="F84">
        <v>581</v>
      </c>
      <c r="G84" s="2" t="s">
        <v>68</v>
      </c>
      <c r="H84" s="1">
        <v>45888.482392962964</v>
      </c>
      <c r="I84" s="2" t="s">
        <v>751</v>
      </c>
      <c r="J84" s="2" t="s">
        <v>67</v>
      </c>
      <c r="K84" s="2" t="s">
        <v>67</v>
      </c>
      <c r="L84" s="2" t="s">
        <v>67</v>
      </c>
      <c r="M84" s="2" t="s">
        <v>67</v>
      </c>
      <c r="N84">
        <v>43.072499999999998</v>
      </c>
      <c r="O84">
        <v>-89.449100000000001</v>
      </c>
      <c r="P84" s="2" t="s">
        <v>78</v>
      </c>
      <c r="Q84" s="2" t="s">
        <v>69</v>
      </c>
      <c r="R84" s="2" t="s">
        <v>752</v>
      </c>
      <c r="S84" s="2" t="s">
        <v>753</v>
      </c>
      <c r="T84" s="2" t="s">
        <v>754</v>
      </c>
      <c r="U84" s="2" t="s">
        <v>355</v>
      </c>
      <c r="V84" s="2" t="s">
        <v>82</v>
      </c>
      <c r="W84" s="2" t="s">
        <v>755</v>
      </c>
      <c r="X84" s="2" t="s">
        <v>67</v>
      </c>
      <c r="Y84" s="2" t="s">
        <v>67</v>
      </c>
      <c r="Z84" s="2" t="s">
        <v>74</v>
      </c>
      <c r="AA84" s="2" t="s">
        <v>71</v>
      </c>
      <c r="AB84" s="2" t="s">
        <v>67</v>
      </c>
      <c r="AC84" s="2" t="s">
        <v>67</v>
      </c>
      <c r="AD84" s="2" t="s">
        <v>67</v>
      </c>
      <c r="AE84" s="2" t="s">
        <v>756</v>
      </c>
      <c r="AF84" s="2" t="s">
        <v>757</v>
      </c>
      <c r="AG84" s="2" t="s">
        <v>758</v>
      </c>
      <c r="AH84" s="2" t="s">
        <v>67</v>
      </c>
      <c r="AI84" s="2" t="s">
        <v>67</v>
      </c>
      <c r="AJ84" s="2" t="s">
        <v>67</v>
      </c>
      <c r="AK84" s="2" t="s">
        <v>79</v>
      </c>
      <c r="AL84" s="2" t="s">
        <v>141</v>
      </c>
      <c r="AM84" s="2" t="s">
        <v>73</v>
      </c>
    </row>
    <row r="85" spans="1:39" ht="409.6" x14ac:dyDescent="0.2">
      <c r="A85" s="1">
        <v>45888.508842592593</v>
      </c>
      <c r="B85" s="1">
        <v>45888.511481481481</v>
      </c>
      <c r="C85" s="2" t="s">
        <v>42</v>
      </c>
      <c r="D85" s="2" t="s">
        <v>759</v>
      </c>
      <c r="E85">
        <v>100</v>
      </c>
      <c r="F85">
        <v>227</v>
      </c>
      <c r="G85" s="2" t="s">
        <v>68</v>
      </c>
      <c r="H85" s="1">
        <v>45888.511496134262</v>
      </c>
      <c r="I85" s="2" t="s">
        <v>760</v>
      </c>
      <c r="J85" s="2" t="s">
        <v>67</v>
      </c>
      <c r="K85" s="2" t="s">
        <v>67</v>
      </c>
      <c r="L85" s="2" t="s">
        <v>67</v>
      </c>
      <c r="M85" s="2" t="s">
        <v>67</v>
      </c>
      <c r="N85">
        <v>43.1205</v>
      </c>
      <c r="O85">
        <v>-89.3523</v>
      </c>
      <c r="P85" s="2" t="s">
        <v>78</v>
      </c>
      <c r="Q85" s="2" t="s">
        <v>69</v>
      </c>
      <c r="R85" s="2" t="s">
        <v>761</v>
      </c>
      <c r="S85" s="2" t="s">
        <v>762</v>
      </c>
      <c r="T85" s="2" t="s">
        <v>763</v>
      </c>
      <c r="U85" s="2" t="s">
        <v>67</v>
      </c>
      <c r="V85" s="2" t="s">
        <v>82</v>
      </c>
      <c r="W85" s="2" t="s">
        <v>256</v>
      </c>
      <c r="X85" s="2" t="s">
        <v>67</v>
      </c>
      <c r="Y85" s="2" t="s">
        <v>67</v>
      </c>
      <c r="Z85" s="2" t="s">
        <v>74</v>
      </c>
      <c r="AA85" s="2" t="s">
        <v>71</v>
      </c>
      <c r="AB85" s="2" t="s">
        <v>67</v>
      </c>
      <c r="AC85" s="2" t="s">
        <v>67</v>
      </c>
      <c r="AD85" s="2" t="s">
        <v>67</v>
      </c>
      <c r="AE85" s="2" t="s">
        <v>764</v>
      </c>
      <c r="AF85" s="2" t="s">
        <v>765</v>
      </c>
      <c r="AG85" s="2" t="s">
        <v>766</v>
      </c>
      <c r="AH85" s="2" t="s">
        <v>67</v>
      </c>
      <c r="AI85" s="2" t="s">
        <v>67</v>
      </c>
      <c r="AJ85" s="2" t="s">
        <v>67</v>
      </c>
      <c r="AK85" s="2" t="s">
        <v>79</v>
      </c>
      <c r="AL85" s="2" t="s">
        <v>141</v>
      </c>
      <c r="AM85" s="2" t="s">
        <v>73</v>
      </c>
    </row>
    <row r="86" spans="1:39" ht="409.6" x14ac:dyDescent="0.2">
      <c r="A86" s="1">
        <v>45888.568599537037</v>
      </c>
      <c r="B86" s="1">
        <v>45888.571238425924</v>
      </c>
      <c r="C86" s="2" t="s">
        <v>42</v>
      </c>
      <c r="D86" s="2" t="s">
        <v>767</v>
      </c>
      <c r="E86">
        <v>100</v>
      </c>
      <c r="F86">
        <v>227</v>
      </c>
      <c r="G86" s="2" t="s">
        <v>68</v>
      </c>
      <c r="H86" s="1">
        <v>45888.571247858796</v>
      </c>
      <c r="I86" s="2" t="s">
        <v>768</v>
      </c>
      <c r="J86" s="2" t="s">
        <v>67</v>
      </c>
      <c r="K86" s="2" t="s">
        <v>67</v>
      </c>
      <c r="L86" s="2" t="s">
        <v>67</v>
      </c>
      <c r="M86" s="2" t="s">
        <v>67</v>
      </c>
      <c r="N86">
        <v>43.072499999999998</v>
      </c>
      <c r="O86">
        <v>-89.449100000000001</v>
      </c>
      <c r="P86" s="2" t="s">
        <v>78</v>
      </c>
      <c r="Q86" s="2" t="s">
        <v>69</v>
      </c>
      <c r="R86" s="2" t="s">
        <v>769</v>
      </c>
      <c r="S86" s="2" t="s">
        <v>770</v>
      </c>
      <c r="T86" s="2" t="s">
        <v>771</v>
      </c>
      <c r="U86" s="2" t="s">
        <v>67</v>
      </c>
      <c r="V86" s="2" t="s">
        <v>82</v>
      </c>
      <c r="W86" s="2" t="s">
        <v>772</v>
      </c>
      <c r="X86" s="2" t="s">
        <v>67</v>
      </c>
      <c r="Y86" s="2" t="s">
        <v>67</v>
      </c>
      <c r="Z86" s="2" t="s">
        <v>74</v>
      </c>
      <c r="AA86" s="2" t="s">
        <v>71</v>
      </c>
      <c r="AB86" s="2" t="s">
        <v>67</v>
      </c>
      <c r="AC86" s="2" t="s">
        <v>67</v>
      </c>
      <c r="AD86" s="2" t="s">
        <v>67</v>
      </c>
      <c r="AE86" s="2" t="s">
        <v>773</v>
      </c>
      <c r="AF86" s="2" t="s">
        <v>774</v>
      </c>
      <c r="AG86" s="2" t="s">
        <v>775</v>
      </c>
      <c r="AH86" s="2" t="s">
        <v>67</v>
      </c>
      <c r="AI86" s="2" t="s">
        <v>67</v>
      </c>
      <c r="AJ86" s="2" t="s">
        <v>67</v>
      </c>
      <c r="AK86" s="2" t="s">
        <v>79</v>
      </c>
      <c r="AL86" s="2" t="s">
        <v>141</v>
      </c>
      <c r="AM86" s="2" t="s">
        <v>73</v>
      </c>
    </row>
    <row r="87" spans="1:39" ht="409.6" x14ac:dyDescent="0.2">
      <c r="A87" s="1">
        <v>45888.676886574074</v>
      </c>
      <c r="B87" s="1">
        <v>45888.680451388886</v>
      </c>
      <c r="C87" s="2" t="s">
        <v>42</v>
      </c>
      <c r="D87" s="2" t="s">
        <v>776</v>
      </c>
      <c r="E87">
        <v>100</v>
      </c>
      <c r="F87">
        <v>308</v>
      </c>
      <c r="G87" s="2" t="s">
        <v>68</v>
      </c>
      <c r="H87" s="1">
        <v>45888.680460613425</v>
      </c>
      <c r="I87" s="2" t="s">
        <v>777</v>
      </c>
      <c r="J87" s="2" t="s">
        <v>67</v>
      </c>
      <c r="K87" s="2" t="s">
        <v>67</v>
      </c>
      <c r="L87" s="2" t="s">
        <v>67</v>
      </c>
      <c r="M87" s="2" t="s">
        <v>67</v>
      </c>
      <c r="N87">
        <v>43.072499999999998</v>
      </c>
      <c r="O87">
        <v>-89.449100000000001</v>
      </c>
      <c r="P87" s="2" t="s">
        <v>78</v>
      </c>
      <c r="Q87" s="2" t="s">
        <v>69</v>
      </c>
      <c r="R87" s="2" t="s">
        <v>778</v>
      </c>
      <c r="S87" s="2" t="s">
        <v>779</v>
      </c>
      <c r="T87" s="2" t="s">
        <v>780</v>
      </c>
      <c r="U87" s="2" t="s">
        <v>67</v>
      </c>
      <c r="V87" s="2" t="s">
        <v>781</v>
      </c>
      <c r="W87" s="2" t="s">
        <v>782</v>
      </c>
      <c r="X87" s="2" t="s">
        <v>67</v>
      </c>
      <c r="Y87" s="2" t="s">
        <v>67</v>
      </c>
      <c r="Z87" s="2" t="s">
        <v>74</v>
      </c>
      <c r="AA87" s="2" t="s">
        <v>74</v>
      </c>
      <c r="AB87" s="2" t="s">
        <v>67</v>
      </c>
      <c r="AC87" s="2" t="s">
        <v>67</v>
      </c>
      <c r="AD87" s="2" t="s">
        <v>67</v>
      </c>
      <c r="AE87" s="2" t="s">
        <v>783</v>
      </c>
      <c r="AF87" s="2" t="s">
        <v>784</v>
      </c>
      <c r="AG87" s="2" t="s">
        <v>785</v>
      </c>
      <c r="AH87" s="2" t="s">
        <v>786</v>
      </c>
      <c r="AI87" s="2" t="s">
        <v>787</v>
      </c>
      <c r="AJ87" s="2" t="s">
        <v>67</v>
      </c>
      <c r="AK87" s="2" t="s">
        <v>79</v>
      </c>
      <c r="AL87" s="2" t="s">
        <v>141</v>
      </c>
      <c r="AM87" s="2" t="s">
        <v>73</v>
      </c>
    </row>
    <row r="88" spans="1:39" ht="409.6" x14ac:dyDescent="0.2">
      <c r="A88" s="1">
        <v>45889.024074074077</v>
      </c>
      <c r="B88" s="1">
        <v>45889.025995370372</v>
      </c>
      <c r="C88" s="2" t="s">
        <v>42</v>
      </c>
      <c r="D88" s="2" t="s">
        <v>788</v>
      </c>
      <c r="E88">
        <v>100</v>
      </c>
      <c r="F88">
        <v>165</v>
      </c>
      <c r="G88" s="2" t="s">
        <v>68</v>
      </c>
      <c r="H88" s="1">
        <v>45889.026002002312</v>
      </c>
      <c r="I88" s="2" t="s">
        <v>789</v>
      </c>
      <c r="J88" s="2" t="s">
        <v>67</v>
      </c>
      <c r="K88" s="2" t="s">
        <v>67</v>
      </c>
      <c r="L88" s="2" t="s">
        <v>67</v>
      </c>
      <c r="M88" s="2" t="s">
        <v>67</v>
      </c>
      <c r="N88">
        <v>43.072499999999998</v>
      </c>
      <c r="O88">
        <v>-89.449100000000001</v>
      </c>
      <c r="P88" s="2" t="s">
        <v>78</v>
      </c>
      <c r="Q88" s="2" t="s">
        <v>69</v>
      </c>
      <c r="R88" s="2" t="s">
        <v>790</v>
      </c>
      <c r="S88" s="2" t="s">
        <v>158</v>
      </c>
      <c r="T88" s="2" t="s">
        <v>791</v>
      </c>
      <c r="U88" s="2" t="s">
        <v>67</v>
      </c>
      <c r="V88" s="2" t="s">
        <v>219</v>
      </c>
      <c r="W88" s="2" t="s">
        <v>792</v>
      </c>
      <c r="X88" s="2" t="s">
        <v>67</v>
      </c>
      <c r="Y88" s="2" t="s">
        <v>67</v>
      </c>
      <c r="Z88" s="2" t="s">
        <v>74</v>
      </c>
      <c r="AA88" s="2" t="s">
        <v>71</v>
      </c>
      <c r="AB88" s="2" t="s">
        <v>67</v>
      </c>
      <c r="AC88" s="2" t="s">
        <v>67</v>
      </c>
      <c r="AD88" s="2" t="s">
        <v>67</v>
      </c>
      <c r="AE88" s="2" t="s">
        <v>793</v>
      </c>
      <c r="AF88" s="2" t="s">
        <v>794</v>
      </c>
      <c r="AG88" s="2" t="s">
        <v>795</v>
      </c>
      <c r="AH88" s="2" t="s">
        <v>67</v>
      </c>
      <c r="AI88" s="2" t="s">
        <v>67</v>
      </c>
      <c r="AJ88" s="2" t="s">
        <v>67</v>
      </c>
      <c r="AK88" s="2" t="s">
        <v>796</v>
      </c>
      <c r="AL88" s="2" t="s">
        <v>141</v>
      </c>
      <c r="AM88" s="2" t="s">
        <v>73</v>
      </c>
    </row>
    <row r="89" spans="1:39" ht="409.6" x14ac:dyDescent="0.2">
      <c r="A89" s="1">
        <v>45889.369791666664</v>
      </c>
      <c r="B89" s="1">
        <v>45889.375393518516</v>
      </c>
      <c r="C89" s="2" t="s">
        <v>42</v>
      </c>
      <c r="D89" s="2" t="s">
        <v>797</v>
      </c>
      <c r="E89">
        <v>100</v>
      </c>
      <c r="F89">
        <v>483</v>
      </c>
      <c r="G89" s="2" t="s">
        <v>68</v>
      </c>
      <c r="H89" s="1">
        <v>45889.375403622682</v>
      </c>
      <c r="I89" s="2" t="s">
        <v>798</v>
      </c>
      <c r="J89" s="2" t="s">
        <v>67</v>
      </c>
      <c r="K89" s="2" t="s">
        <v>67</v>
      </c>
      <c r="L89" s="2" t="s">
        <v>67</v>
      </c>
      <c r="M89" s="2" t="s">
        <v>67</v>
      </c>
      <c r="N89">
        <v>43.0334</v>
      </c>
      <c r="O89">
        <v>-89.4512</v>
      </c>
      <c r="P89" s="2" t="s">
        <v>78</v>
      </c>
      <c r="Q89" s="2" t="s">
        <v>69</v>
      </c>
      <c r="R89" s="2" t="s">
        <v>799</v>
      </c>
      <c r="S89" s="2" t="s">
        <v>800</v>
      </c>
      <c r="T89" s="2" t="s">
        <v>801</v>
      </c>
      <c r="U89" s="2" t="s">
        <v>67</v>
      </c>
      <c r="V89" s="2" t="s">
        <v>802</v>
      </c>
      <c r="W89" s="2" t="s">
        <v>803</v>
      </c>
      <c r="X89" s="2" t="s">
        <v>67</v>
      </c>
      <c r="Y89" s="2" t="s">
        <v>67</v>
      </c>
      <c r="Z89" s="2" t="s">
        <v>74</v>
      </c>
      <c r="AA89" s="2" t="s">
        <v>71</v>
      </c>
      <c r="AB89" s="2" t="s">
        <v>67</v>
      </c>
      <c r="AC89" s="2" t="s">
        <v>67</v>
      </c>
      <c r="AD89" s="2" t="s">
        <v>67</v>
      </c>
      <c r="AE89" s="2" t="s">
        <v>804</v>
      </c>
      <c r="AF89" s="2" t="s">
        <v>805</v>
      </c>
      <c r="AG89" s="2" t="s">
        <v>806</v>
      </c>
      <c r="AH89" s="2" t="s">
        <v>67</v>
      </c>
      <c r="AI89" s="2" t="s">
        <v>67</v>
      </c>
      <c r="AJ89" s="2" t="s">
        <v>67</v>
      </c>
      <c r="AK89" s="2" t="s">
        <v>796</v>
      </c>
      <c r="AL89" s="2" t="s">
        <v>141</v>
      </c>
      <c r="AM89" s="2" t="s">
        <v>73</v>
      </c>
    </row>
    <row r="90" spans="1:39" ht="409.6" x14ac:dyDescent="0.2">
      <c r="A90" s="1">
        <v>45889.376342592594</v>
      </c>
      <c r="B90" s="1">
        <v>45889.385162037041</v>
      </c>
      <c r="C90" s="2" t="s">
        <v>42</v>
      </c>
      <c r="D90" s="2" t="s">
        <v>807</v>
      </c>
      <c r="E90">
        <v>100</v>
      </c>
      <c r="F90">
        <v>761</v>
      </c>
      <c r="G90" s="2" t="s">
        <v>68</v>
      </c>
      <c r="H90" s="1">
        <v>45889.385168576388</v>
      </c>
      <c r="I90" s="2" t="s">
        <v>808</v>
      </c>
      <c r="J90" s="2" t="s">
        <v>67</v>
      </c>
      <c r="K90" s="2" t="s">
        <v>67</v>
      </c>
      <c r="L90" s="2" t="s">
        <v>67</v>
      </c>
      <c r="M90" s="2" t="s">
        <v>67</v>
      </c>
      <c r="N90">
        <v>42.913499999999999</v>
      </c>
      <c r="O90">
        <v>-87.855599999999995</v>
      </c>
      <c r="P90" s="2" t="s">
        <v>78</v>
      </c>
      <c r="Q90" s="2" t="s">
        <v>69</v>
      </c>
      <c r="R90" s="2" t="s">
        <v>809</v>
      </c>
      <c r="S90" s="2" t="s">
        <v>810</v>
      </c>
      <c r="T90" s="2" t="s">
        <v>811</v>
      </c>
      <c r="U90" s="2" t="s">
        <v>81</v>
      </c>
      <c r="V90" s="2" t="s">
        <v>82</v>
      </c>
      <c r="W90" s="2" t="s">
        <v>812</v>
      </c>
      <c r="X90" s="2" t="s">
        <v>67</v>
      </c>
      <c r="Y90" s="2" t="s">
        <v>67</v>
      </c>
      <c r="Z90" s="2" t="s">
        <v>74</v>
      </c>
      <c r="AA90" s="2" t="s">
        <v>74</v>
      </c>
      <c r="AB90" s="2" t="s">
        <v>67</v>
      </c>
      <c r="AC90" s="2" t="s">
        <v>67</v>
      </c>
      <c r="AD90" s="2" t="s">
        <v>67</v>
      </c>
      <c r="AE90" s="2" t="s">
        <v>813</v>
      </c>
      <c r="AF90" s="2" t="s">
        <v>814</v>
      </c>
      <c r="AG90" s="2" t="s">
        <v>815</v>
      </c>
      <c r="AH90" s="2" t="s">
        <v>816</v>
      </c>
      <c r="AI90" s="2" t="s">
        <v>817</v>
      </c>
      <c r="AJ90" s="2" t="s">
        <v>67</v>
      </c>
      <c r="AK90" s="2" t="s">
        <v>796</v>
      </c>
      <c r="AL90" s="2" t="s">
        <v>141</v>
      </c>
      <c r="AM90" s="2" t="s">
        <v>73</v>
      </c>
    </row>
    <row r="91" spans="1:39" ht="409.6" x14ac:dyDescent="0.2">
      <c r="A91" s="1">
        <v>45889.445509259262</v>
      </c>
      <c r="B91" s="1">
        <v>45889.450428240743</v>
      </c>
      <c r="C91" s="2" t="s">
        <v>42</v>
      </c>
      <c r="D91" s="2" t="s">
        <v>818</v>
      </c>
      <c r="E91">
        <v>100</v>
      </c>
      <c r="F91">
        <v>425</v>
      </c>
      <c r="G91" s="2" t="s">
        <v>68</v>
      </c>
      <c r="H91" s="1">
        <v>45889.450439895831</v>
      </c>
      <c r="I91" s="2" t="s">
        <v>819</v>
      </c>
      <c r="J91" s="2" t="s">
        <v>67</v>
      </c>
      <c r="K91" s="2" t="s">
        <v>67</v>
      </c>
      <c r="L91" s="2" t="s">
        <v>67</v>
      </c>
      <c r="M91" s="2" t="s">
        <v>67</v>
      </c>
      <c r="N91">
        <v>43.072499999999998</v>
      </c>
      <c r="O91">
        <v>-89.449100000000001</v>
      </c>
      <c r="P91" s="2" t="s">
        <v>78</v>
      </c>
      <c r="Q91" s="2" t="s">
        <v>69</v>
      </c>
      <c r="R91" s="2" t="s">
        <v>820</v>
      </c>
      <c r="S91" s="2" t="s">
        <v>821</v>
      </c>
      <c r="T91" s="2" t="s">
        <v>822</v>
      </c>
      <c r="U91" s="2" t="s">
        <v>81</v>
      </c>
      <c r="V91" s="2" t="s">
        <v>237</v>
      </c>
      <c r="W91" s="2" t="s">
        <v>256</v>
      </c>
      <c r="X91" s="2" t="s">
        <v>67</v>
      </c>
      <c r="Y91" s="2" t="s">
        <v>67</v>
      </c>
      <c r="Z91" s="2" t="s">
        <v>74</v>
      </c>
      <c r="AA91" s="2" t="s">
        <v>71</v>
      </c>
      <c r="AB91" s="2" t="s">
        <v>67</v>
      </c>
      <c r="AC91" s="2" t="s">
        <v>67</v>
      </c>
      <c r="AD91" s="2" t="s">
        <v>67</v>
      </c>
      <c r="AE91" s="2" t="s">
        <v>823</v>
      </c>
      <c r="AF91" s="2" t="s">
        <v>824</v>
      </c>
      <c r="AG91" s="2" t="s">
        <v>825</v>
      </c>
      <c r="AH91" s="2" t="s">
        <v>67</v>
      </c>
      <c r="AI91" s="2" t="s">
        <v>67</v>
      </c>
      <c r="AJ91" s="2" t="s">
        <v>67</v>
      </c>
      <c r="AK91" s="2" t="s">
        <v>796</v>
      </c>
      <c r="AL91" s="2" t="s">
        <v>141</v>
      </c>
      <c r="AM91" s="2" t="s">
        <v>73</v>
      </c>
    </row>
    <row r="92" spans="1:39" ht="409.6" x14ac:dyDescent="0.2">
      <c r="A92" s="1">
        <v>45885.379502314812</v>
      </c>
      <c r="B92" s="1">
        <v>45889.46806712963</v>
      </c>
      <c r="C92" s="2" t="s">
        <v>42</v>
      </c>
      <c r="D92" s="2" t="s">
        <v>826</v>
      </c>
      <c r="E92">
        <v>100</v>
      </c>
      <c r="F92">
        <v>353252</v>
      </c>
      <c r="G92" s="2" t="s">
        <v>68</v>
      </c>
      <c r="H92" s="1">
        <v>45889.468082731481</v>
      </c>
      <c r="I92" s="2" t="s">
        <v>827</v>
      </c>
      <c r="J92" s="2" t="s">
        <v>67</v>
      </c>
      <c r="K92" s="2" t="s">
        <v>67</v>
      </c>
      <c r="L92" s="2" t="s">
        <v>67</v>
      </c>
      <c r="M92" s="2" t="s">
        <v>67</v>
      </c>
      <c r="N92">
        <v>43.0334</v>
      </c>
      <c r="O92">
        <v>-89.4512</v>
      </c>
      <c r="P92" s="2" t="s">
        <v>78</v>
      </c>
      <c r="Q92" s="2" t="s">
        <v>69</v>
      </c>
      <c r="R92" s="2" t="s">
        <v>828</v>
      </c>
      <c r="S92" s="2" t="s">
        <v>829</v>
      </c>
      <c r="T92" s="2" t="s">
        <v>830</v>
      </c>
      <c r="U92" s="2" t="s">
        <v>81</v>
      </c>
      <c r="V92" s="2" t="s">
        <v>91</v>
      </c>
      <c r="W92" s="2" t="s">
        <v>831</v>
      </c>
      <c r="X92" s="2" t="s">
        <v>67</v>
      </c>
      <c r="Y92" s="2" t="s">
        <v>67</v>
      </c>
      <c r="Z92" s="2" t="s">
        <v>74</v>
      </c>
      <c r="AA92" s="2" t="s">
        <v>74</v>
      </c>
      <c r="AB92" s="2" t="s">
        <v>67</v>
      </c>
      <c r="AC92" s="2" t="s">
        <v>67</v>
      </c>
      <c r="AD92" s="2" t="s">
        <v>67</v>
      </c>
      <c r="AE92" s="2" t="s">
        <v>832</v>
      </c>
      <c r="AF92" s="2" t="s">
        <v>833</v>
      </c>
      <c r="AG92" s="2" t="s">
        <v>834</v>
      </c>
      <c r="AH92" s="2" t="s">
        <v>835</v>
      </c>
      <c r="AI92" s="2" t="s">
        <v>836</v>
      </c>
      <c r="AJ92" s="2" t="s">
        <v>67</v>
      </c>
      <c r="AK92" s="2" t="s">
        <v>98</v>
      </c>
      <c r="AL92" s="2" t="s">
        <v>141</v>
      </c>
      <c r="AM92" s="2" t="s">
        <v>73</v>
      </c>
    </row>
    <row r="93" spans="1:39" ht="409.6" x14ac:dyDescent="0.2">
      <c r="A93" s="1">
        <v>45889.6327662037</v>
      </c>
      <c r="B93" s="1">
        <v>45889.65483796296</v>
      </c>
      <c r="C93" s="2" t="s">
        <v>42</v>
      </c>
      <c r="D93" s="2" t="s">
        <v>837</v>
      </c>
      <c r="E93">
        <v>100</v>
      </c>
      <c r="F93">
        <v>1907</v>
      </c>
      <c r="G93" s="2" t="s">
        <v>68</v>
      </c>
      <c r="H93" s="1">
        <v>45889.654849814811</v>
      </c>
      <c r="I93" s="2" t="s">
        <v>838</v>
      </c>
      <c r="J93" s="2" t="s">
        <v>67</v>
      </c>
      <c r="K93" s="2" t="s">
        <v>67</v>
      </c>
      <c r="L93" s="2" t="s">
        <v>67</v>
      </c>
      <c r="M93" s="2" t="s">
        <v>67</v>
      </c>
      <c r="N93">
        <v>43.072499999999998</v>
      </c>
      <c r="O93">
        <v>-89.449100000000001</v>
      </c>
      <c r="P93" s="2" t="s">
        <v>78</v>
      </c>
      <c r="Q93" s="2" t="s">
        <v>69</v>
      </c>
      <c r="R93" s="2" t="s">
        <v>839</v>
      </c>
      <c r="S93" s="2" t="s">
        <v>840</v>
      </c>
      <c r="T93" s="2" t="s">
        <v>841</v>
      </c>
      <c r="U93" s="2" t="s">
        <v>67</v>
      </c>
      <c r="V93" s="2" t="s">
        <v>126</v>
      </c>
      <c r="W93" s="2" t="s">
        <v>842</v>
      </c>
      <c r="X93" s="2" t="s">
        <v>67</v>
      </c>
      <c r="Y93" s="2" t="s">
        <v>67</v>
      </c>
      <c r="Z93" s="2" t="s">
        <v>74</v>
      </c>
      <c r="AA93" s="2" t="s">
        <v>71</v>
      </c>
      <c r="AB93" s="2" t="s">
        <v>67</v>
      </c>
      <c r="AC93" s="2" t="s">
        <v>67</v>
      </c>
      <c r="AD93" s="2" t="s">
        <v>67</v>
      </c>
      <c r="AE93" s="2" t="s">
        <v>843</v>
      </c>
      <c r="AF93" s="2" t="s">
        <v>844</v>
      </c>
      <c r="AG93" s="2" t="s">
        <v>845</v>
      </c>
      <c r="AH93" s="2" t="s">
        <v>67</v>
      </c>
      <c r="AI93" s="2" t="s">
        <v>67</v>
      </c>
      <c r="AJ93" s="2" t="s">
        <v>67</v>
      </c>
      <c r="AK93" s="2" t="s">
        <v>796</v>
      </c>
      <c r="AL93" s="2" t="s">
        <v>141</v>
      </c>
      <c r="AM93" s="2" t="s">
        <v>73</v>
      </c>
    </row>
    <row r="94" spans="1:39" ht="409.6" x14ac:dyDescent="0.2">
      <c r="A94" s="1">
        <v>45889.674814814818</v>
      </c>
      <c r="B94" s="1">
        <v>45889.67864583333</v>
      </c>
      <c r="C94" s="2" t="s">
        <v>42</v>
      </c>
      <c r="D94" s="2" t="s">
        <v>846</v>
      </c>
      <c r="E94">
        <v>100</v>
      </c>
      <c r="F94">
        <v>330</v>
      </c>
      <c r="G94" s="2" t="s">
        <v>68</v>
      </c>
      <c r="H94" s="1">
        <v>45889.678652361108</v>
      </c>
      <c r="I94" s="2" t="s">
        <v>847</v>
      </c>
      <c r="J94" s="2" t="s">
        <v>67</v>
      </c>
      <c r="K94" s="2" t="s">
        <v>67</v>
      </c>
      <c r="L94" s="2" t="s">
        <v>67</v>
      </c>
      <c r="M94" s="2" t="s">
        <v>67</v>
      </c>
      <c r="N94">
        <v>43.072499999999998</v>
      </c>
      <c r="O94">
        <v>-89.449100000000001</v>
      </c>
      <c r="P94" s="2" t="s">
        <v>78</v>
      </c>
      <c r="Q94" s="2" t="s">
        <v>69</v>
      </c>
      <c r="R94" s="2" t="s">
        <v>848</v>
      </c>
      <c r="S94" s="2" t="s">
        <v>849</v>
      </c>
      <c r="T94" s="2" t="s">
        <v>850</v>
      </c>
      <c r="U94" s="2" t="s">
        <v>596</v>
      </c>
      <c r="V94" s="2" t="s">
        <v>237</v>
      </c>
      <c r="W94" s="2" t="s">
        <v>851</v>
      </c>
      <c r="X94" s="2" t="s">
        <v>67</v>
      </c>
      <c r="Y94" s="2" t="s">
        <v>67</v>
      </c>
      <c r="Z94" s="2" t="s">
        <v>74</v>
      </c>
      <c r="AA94" s="2" t="s">
        <v>71</v>
      </c>
      <c r="AB94" s="2" t="s">
        <v>67</v>
      </c>
      <c r="AC94" s="2" t="s">
        <v>67</v>
      </c>
      <c r="AD94" s="2" t="s">
        <v>67</v>
      </c>
      <c r="AE94" s="2" t="s">
        <v>852</v>
      </c>
      <c r="AF94" s="2" t="s">
        <v>853</v>
      </c>
      <c r="AG94" s="2" t="s">
        <v>854</v>
      </c>
      <c r="AH94" s="2" t="s">
        <v>67</v>
      </c>
      <c r="AI94" s="2" t="s">
        <v>67</v>
      </c>
      <c r="AJ94" s="2" t="s">
        <v>67</v>
      </c>
      <c r="AK94" s="2" t="s">
        <v>796</v>
      </c>
      <c r="AL94" s="2" t="s">
        <v>141</v>
      </c>
      <c r="AM94" s="2" t="s">
        <v>73</v>
      </c>
    </row>
    <row r="95" spans="1:39" ht="409.6" x14ac:dyDescent="0.2">
      <c r="A95" s="1">
        <v>45888.583877314813</v>
      </c>
      <c r="B95" s="1">
        <v>45890.339201388888</v>
      </c>
      <c r="C95" s="2" t="s">
        <v>42</v>
      </c>
      <c r="D95" s="2" t="s">
        <v>855</v>
      </c>
      <c r="E95">
        <v>100</v>
      </c>
      <c r="F95">
        <v>151659</v>
      </c>
      <c r="G95" s="2" t="s">
        <v>68</v>
      </c>
      <c r="H95" s="1">
        <v>45890.339209606478</v>
      </c>
      <c r="I95" s="2" t="s">
        <v>856</v>
      </c>
      <c r="J95" s="2" t="s">
        <v>67</v>
      </c>
      <c r="K95" s="2" t="s">
        <v>67</v>
      </c>
      <c r="L95" s="2" t="s">
        <v>67</v>
      </c>
      <c r="M95" s="2" t="s">
        <v>67</v>
      </c>
      <c r="N95">
        <v>43.072499999999998</v>
      </c>
      <c r="O95">
        <v>-89.449100000000001</v>
      </c>
      <c r="P95" s="2" t="s">
        <v>78</v>
      </c>
      <c r="Q95" s="2" t="s">
        <v>69</v>
      </c>
      <c r="R95" s="2" t="s">
        <v>857</v>
      </c>
      <c r="S95" s="2" t="s">
        <v>858</v>
      </c>
      <c r="T95" s="2" t="s">
        <v>859</v>
      </c>
      <c r="U95" s="2" t="s">
        <v>67</v>
      </c>
      <c r="V95" s="2" t="s">
        <v>860</v>
      </c>
      <c r="W95" s="2" t="s">
        <v>861</v>
      </c>
      <c r="X95" s="2" t="s">
        <v>67</v>
      </c>
      <c r="Y95" s="2" t="s">
        <v>67</v>
      </c>
      <c r="Z95" s="2" t="s">
        <v>74</v>
      </c>
      <c r="AA95" s="2" t="s">
        <v>71</v>
      </c>
      <c r="AB95" s="2" t="s">
        <v>67</v>
      </c>
      <c r="AC95" s="2" t="s">
        <v>67</v>
      </c>
      <c r="AD95" s="2" t="s">
        <v>67</v>
      </c>
      <c r="AE95" s="2" t="s">
        <v>862</v>
      </c>
      <c r="AF95" s="2" t="s">
        <v>863</v>
      </c>
      <c r="AG95" s="2" t="s">
        <v>864</v>
      </c>
      <c r="AH95" s="2" t="s">
        <v>67</v>
      </c>
      <c r="AI95" s="2" t="s">
        <v>67</v>
      </c>
      <c r="AJ95" s="2" t="s">
        <v>67</v>
      </c>
      <c r="AK95" s="2" t="s">
        <v>184</v>
      </c>
      <c r="AL95" s="2" t="s">
        <v>141</v>
      </c>
      <c r="AM95" s="2" t="s">
        <v>73</v>
      </c>
    </row>
    <row r="96" spans="1:39" ht="409.6" x14ac:dyDescent="0.2">
      <c r="A96" s="1">
        <v>45890.372939814813</v>
      </c>
      <c r="B96" s="1">
        <v>45890.375</v>
      </c>
      <c r="C96" s="2" t="s">
        <v>42</v>
      </c>
      <c r="D96" s="2" t="s">
        <v>865</v>
      </c>
      <c r="E96">
        <v>100</v>
      </c>
      <c r="F96">
        <v>178</v>
      </c>
      <c r="G96" s="2" t="s">
        <v>68</v>
      </c>
      <c r="H96" s="1">
        <v>45890.375013263889</v>
      </c>
      <c r="I96" s="2" t="s">
        <v>866</v>
      </c>
      <c r="J96" s="2" t="s">
        <v>67</v>
      </c>
      <c r="K96" s="2" t="s">
        <v>67</v>
      </c>
      <c r="L96" s="2" t="s">
        <v>67</v>
      </c>
      <c r="M96" s="2" t="s">
        <v>67</v>
      </c>
      <c r="N96">
        <v>43.072499999999998</v>
      </c>
      <c r="O96">
        <v>-89.449100000000001</v>
      </c>
      <c r="P96" s="2" t="s">
        <v>78</v>
      </c>
      <c r="Q96" s="2" t="s">
        <v>69</v>
      </c>
      <c r="R96" s="2" t="s">
        <v>867</v>
      </c>
      <c r="S96" s="2" t="s">
        <v>429</v>
      </c>
      <c r="T96" s="2" t="s">
        <v>868</v>
      </c>
      <c r="U96" s="2" t="s">
        <v>869</v>
      </c>
      <c r="V96" s="2" t="s">
        <v>82</v>
      </c>
      <c r="W96" s="2" t="s">
        <v>870</v>
      </c>
      <c r="X96" s="2" t="s">
        <v>67</v>
      </c>
      <c r="Y96" s="2" t="s">
        <v>67</v>
      </c>
      <c r="Z96" s="2" t="s">
        <v>74</v>
      </c>
      <c r="AA96" s="2" t="s">
        <v>71</v>
      </c>
      <c r="AB96" s="2" t="s">
        <v>67</v>
      </c>
      <c r="AC96" s="2" t="s">
        <v>67</v>
      </c>
      <c r="AD96" s="2" t="s">
        <v>67</v>
      </c>
      <c r="AE96" s="2" t="s">
        <v>871</v>
      </c>
      <c r="AF96" s="2" t="s">
        <v>872</v>
      </c>
      <c r="AG96" s="2" t="s">
        <v>873</v>
      </c>
      <c r="AH96" s="2" t="s">
        <v>67</v>
      </c>
      <c r="AI96" s="2" t="s">
        <v>67</v>
      </c>
      <c r="AJ96" s="2" t="s">
        <v>67</v>
      </c>
      <c r="AK96" s="2" t="s">
        <v>184</v>
      </c>
      <c r="AL96" s="2" t="s">
        <v>141</v>
      </c>
      <c r="AM96" s="2" t="s">
        <v>73</v>
      </c>
    </row>
    <row r="97" spans="1:39" ht="409.6" x14ac:dyDescent="0.2">
      <c r="A97" s="1">
        <v>45890.366226851853</v>
      </c>
      <c r="B97" s="1">
        <v>45890.375138888892</v>
      </c>
      <c r="C97" s="2" t="s">
        <v>42</v>
      </c>
      <c r="D97" s="2" t="s">
        <v>874</v>
      </c>
      <c r="E97">
        <v>100</v>
      </c>
      <c r="F97">
        <v>769</v>
      </c>
      <c r="G97" s="2" t="s">
        <v>68</v>
      </c>
      <c r="H97" s="1">
        <v>45890.375146331018</v>
      </c>
      <c r="I97" s="2" t="s">
        <v>875</v>
      </c>
      <c r="J97" s="2" t="s">
        <v>67</v>
      </c>
      <c r="K97" s="2" t="s">
        <v>67</v>
      </c>
      <c r="L97" s="2" t="s">
        <v>67</v>
      </c>
      <c r="M97" s="2" t="s">
        <v>67</v>
      </c>
      <c r="N97">
        <v>43.072499999999998</v>
      </c>
      <c r="O97">
        <v>-89.449100000000001</v>
      </c>
      <c r="P97" s="2" t="s">
        <v>78</v>
      </c>
      <c r="Q97" s="2" t="s">
        <v>69</v>
      </c>
      <c r="R97" s="2" t="s">
        <v>876</v>
      </c>
      <c r="S97" s="2" t="s">
        <v>877</v>
      </c>
      <c r="T97" s="2" t="s">
        <v>878</v>
      </c>
      <c r="U97" s="2" t="s">
        <v>160</v>
      </c>
      <c r="V97" s="2" t="s">
        <v>879</v>
      </c>
      <c r="W97" s="2" t="s">
        <v>676</v>
      </c>
      <c r="X97" s="2" t="s">
        <v>67</v>
      </c>
      <c r="Y97" s="2" t="s">
        <v>67</v>
      </c>
      <c r="Z97" s="2" t="s">
        <v>74</v>
      </c>
      <c r="AA97" s="2" t="s">
        <v>71</v>
      </c>
      <c r="AB97" s="2" t="s">
        <v>67</v>
      </c>
      <c r="AC97" s="2" t="s">
        <v>67</v>
      </c>
      <c r="AD97" s="2" t="s">
        <v>67</v>
      </c>
      <c r="AE97" s="2" t="s">
        <v>880</v>
      </c>
      <c r="AF97" s="2" t="s">
        <v>881</v>
      </c>
      <c r="AG97" s="2" t="s">
        <v>882</v>
      </c>
      <c r="AH97" s="2" t="s">
        <v>67</v>
      </c>
      <c r="AI97" s="2" t="s">
        <v>67</v>
      </c>
      <c r="AJ97" s="2" t="s">
        <v>67</v>
      </c>
      <c r="AK97" s="2" t="s">
        <v>184</v>
      </c>
      <c r="AL97" s="2" t="s">
        <v>141</v>
      </c>
      <c r="AM97" s="2" t="s">
        <v>73</v>
      </c>
    </row>
    <row r="98" spans="1:39" ht="409.6" x14ac:dyDescent="0.2">
      <c r="A98" s="1">
        <v>45890.37228009259</v>
      </c>
      <c r="B98" s="1">
        <v>45890.420763888891</v>
      </c>
      <c r="C98" s="2" t="s">
        <v>42</v>
      </c>
      <c r="D98" s="2" t="s">
        <v>883</v>
      </c>
      <c r="E98">
        <v>100</v>
      </c>
      <c r="F98">
        <v>4189</v>
      </c>
      <c r="G98" s="2" t="s">
        <v>68</v>
      </c>
      <c r="H98" s="1">
        <v>45890.420778506945</v>
      </c>
      <c r="I98" s="2" t="s">
        <v>884</v>
      </c>
      <c r="J98" s="2" t="s">
        <v>67</v>
      </c>
      <c r="K98" s="2" t="s">
        <v>67</v>
      </c>
      <c r="L98" s="2" t="s">
        <v>67</v>
      </c>
      <c r="M98" s="2" t="s">
        <v>67</v>
      </c>
      <c r="N98">
        <v>43.072499999999998</v>
      </c>
      <c r="O98">
        <v>-89.449100000000001</v>
      </c>
      <c r="P98" s="2" t="s">
        <v>78</v>
      </c>
      <c r="Q98" s="2" t="s">
        <v>69</v>
      </c>
      <c r="R98" s="2" t="s">
        <v>885</v>
      </c>
      <c r="S98" s="2" t="s">
        <v>886</v>
      </c>
      <c r="T98" s="2" t="s">
        <v>887</v>
      </c>
      <c r="U98" s="2" t="s">
        <v>596</v>
      </c>
      <c r="V98" s="2" t="s">
        <v>126</v>
      </c>
      <c r="W98" s="2" t="s">
        <v>888</v>
      </c>
      <c r="X98" s="2" t="s">
        <v>67</v>
      </c>
      <c r="Y98" s="2" t="s">
        <v>67</v>
      </c>
      <c r="Z98" s="2" t="s">
        <v>74</v>
      </c>
      <c r="AA98" s="2" t="s">
        <v>71</v>
      </c>
      <c r="AB98" s="2" t="s">
        <v>67</v>
      </c>
      <c r="AC98" s="2" t="s">
        <v>67</v>
      </c>
      <c r="AD98" s="2" t="s">
        <v>67</v>
      </c>
      <c r="AE98" s="2" t="s">
        <v>889</v>
      </c>
      <c r="AF98" s="2" t="s">
        <v>890</v>
      </c>
      <c r="AG98" s="2" t="s">
        <v>891</v>
      </c>
      <c r="AH98" s="2" t="s">
        <v>67</v>
      </c>
      <c r="AI98" s="2" t="s">
        <v>67</v>
      </c>
      <c r="AJ98" s="2" t="s">
        <v>67</v>
      </c>
      <c r="AK98" s="2" t="s">
        <v>184</v>
      </c>
      <c r="AL98" s="2" t="s">
        <v>141</v>
      </c>
      <c r="AM98" s="2" t="s">
        <v>73</v>
      </c>
    </row>
    <row r="99" spans="1:39" ht="409.6" x14ac:dyDescent="0.2">
      <c r="A99" s="1">
        <v>45890.41642361111</v>
      </c>
      <c r="B99" s="1">
        <v>45890.423946759256</v>
      </c>
      <c r="C99" s="2" t="s">
        <v>42</v>
      </c>
      <c r="D99" s="2" t="s">
        <v>892</v>
      </c>
      <c r="E99">
        <v>100</v>
      </c>
      <c r="F99">
        <v>650</v>
      </c>
      <c r="G99" s="2" t="s">
        <v>68</v>
      </c>
      <c r="H99" s="1">
        <v>45890.423962314817</v>
      </c>
      <c r="I99" s="2" t="s">
        <v>893</v>
      </c>
      <c r="J99" s="2" t="s">
        <v>67</v>
      </c>
      <c r="K99" s="2" t="s">
        <v>67</v>
      </c>
      <c r="L99" s="2" t="s">
        <v>67</v>
      </c>
      <c r="M99" s="2" t="s">
        <v>67</v>
      </c>
      <c r="N99">
        <v>43.072499999999998</v>
      </c>
      <c r="O99">
        <v>-89.449100000000001</v>
      </c>
      <c r="P99" s="2" t="s">
        <v>78</v>
      </c>
      <c r="Q99" s="2" t="s">
        <v>69</v>
      </c>
      <c r="R99" s="2" t="s">
        <v>894</v>
      </c>
      <c r="S99" s="2" t="s">
        <v>895</v>
      </c>
      <c r="T99" s="2" t="s">
        <v>896</v>
      </c>
      <c r="U99" s="2" t="s">
        <v>67</v>
      </c>
      <c r="V99" s="2" t="s">
        <v>82</v>
      </c>
      <c r="W99" s="2" t="s">
        <v>772</v>
      </c>
      <c r="X99" s="2" t="s">
        <v>67</v>
      </c>
      <c r="Y99" s="2" t="s">
        <v>67</v>
      </c>
      <c r="Z99" s="2" t="s">
        <v>74</v>
      </c>
      <c r="AA99" s="2" t="s">
        <v>71</v>
      </c>
      <c r="AB99" s="2" t="s">
        <v>67</v>
      </c>
      <c r="AC99" s="2" t="s">
        <v>67</v>
      </c>
      <c r="AD99" s="2" t="s">
        <v>67</v>
      </c>
      <c r="AE99" s="2" t="s">
        <v>897</v>
      </c>
      <c r="AF99" s="2" t="s">
        <v>898</v>
      </c>
      <c r="AG99" s="2" t="s">
        <v>899</v>
      </c>
      <c r="AH99" s="2" t="s">
        <v>67</v>
      </c>
      <c r="AI99" s="2" t="s">
        <v>67</v>
      </c>
      <c r="AJ99" s="2" t="s">
        <v>67</v>
      </c>
      <c r="AK99" s="2" t="s">
        <v>184</v>
      </c>
      <c r="AL99" s="2" t="s">
        <v>141</v>
      </c>
      <c r="AM99" s="2" t="s">
        <v>73</v>
      </c>
    </row>
    <row r="100" spans="1:39" ht="409.6" x14ac:dyDescent="0.2">
      <c r="A100" s="1">
        <v>45890.423229166663</v>
      </c>
      <c r="B100" s="1">
        <v>45890.424525462964</v>
      </c>
      <c r="C100" s="2" t="s">
        <v>42</v>
      </c>
      <c r="D100" s="2" t="s">
        <v>900</v>
      </c>
      <c r="E100">
        <v>100</v>
      </c>
      <c r="F100">
        <v>112</v>
      </c>
      <c r="G100" s="2" t="s">
        <v>68</v>
      </c>
      <c r="H100" s="1">
        <v>45890.424534537036</v>
      </c>
      <c r="I100" s="2" t="s">
        <v>901</v>
      </c>
      <c r="J100" s="2" t="s">
        <v>67</v>
      </c>
      <c r="K100" s="2" t="s">
        <v>67</v>
      </c>
      <c r="L100" s="2" t="s">
        <v>67</v>
      </c>
      <c r="M100" s="2" t="s">
        <v>67</v>
      </c>
      <c r="N100">
        <v>43.081200000000003</v>
      </c>
      <c r="O100">
        <v>-89.383799999999994</v>
      </c>
      <c r="P100" s="2" t="s">
        <v>78</v>
      </c>
      <c r="Q100" s="2" t="s">
        <v>69</v>
      </c>
      <c r="R100" s="2" t="s">
        <v>902</v>
      </c>
      <c r="S100" s="2" t="s">
        <v>903</v>
      </c>
      <c r="T100" s="2" t="s">
        <v>904</v>
      </c>
      <c r="U100" s="2" t="s">
        <v>556</v>
      </c>
      <c r="V100" s="2" t="s">
        <v>91</v>
      </c>
      <c r="W100" s="2" t="s">
        <v>905</v>
      </c>
      <c r="X100" s="2" t="s">
        <v>67</v>
      </c>
      <c r="Y100" s="2" t="s">
        <v>67</v>
      </c>
      <c r="Z100" s="2" t="s">
        <v>74</v>
      </c>
      <c r="AA100" s="2" t="s">
        <v>71</v>
      </c>
      <c r="AB100" s="2" t="s">
        <v>67</v>
      </c>
      <c r="AC100" s="2" t="s">
        <v>67</v>
      </c>
      <c r="AD100" s="2" t="s">
        <v>67</v>
      </c>
      <c r="AE100" s="2" t="s">
        <v>906</v>
      </c>
      <c r="AF100" s="2" t="s">
        <v>907</v>
      </c>
      <c r="AG100" s="2" t="s">
        <v>908</v>
      </c>
      <c r="AH100" s="2" t="s">
        <v>67</v>
      </c>
      <c r="AI100" s="2" t="s">
        <v>67</v>
      </c>
      <c r="AJ100" s="2" t="s">
        <v>67</v>
      </c>
      <c r="AK100" s="2" t="s">
        <v>184</v>
      </c>
      <c r="AL100" s="2" t="s">
        <v>141</v>
      </c>
      <c r="AM100" s="2" t="s">
        <v>73</v>
      </c>
    </row>
    <row r="101" spans="1:39" ht="409.6" x14ac:dyDescent="0.2">
      <c r="A101" s="1">
        <v>45890.429895833331</v>
      </c>
      <c r="B101" s="1">
        <v>45890.431354166663</v>
      </c>
      <c r="C101" s="2" t="s">
        <v>42</v>
      </c>
      <c r="D101" s="2" t="s">
        <v>909</v>
      </c>
      <c r="E101">
        <v>100</v>
      </c>
      <c r="F101">
        <v>126</v>
      </c>
      <c r="G101" s="2" t="s">
        <v>68</v>
      </c>
      <c r="H101" s="1">
        <v>45890.431360625</v>
      </c>
      <c r="I101" s="2" t="s">
        <v>910</v>
      </c>
      <c r="J101" s="2" t="s">
        <v>67</v>
      </c>
      <c r="K101" s="2" t="s">
        <v>67</v>
      </c>
      <c r="L101" s="2" t="s">
        <v>67</v>
      </c>
      <c r="M101" s="2" t="s">
        <v>67</v>
      </c>
      <c r="N101">
        <v>43.072499999999998</v>
      </c>
      <c r="O101">
        <v>-89.449100000000001</v>
      </c>
      <c r="P101" s="2" t="s">
        <v>78</v>
      </c>
      <c r="Q101" s="2" t="s">
        <v>69</v>
      </c>
      <c r="R101" s="2" t="s">
        <v>911</v>
      </c>
      <c r="S101" s="2" t="s">
        <v>912</v>
      </c>
      <c r="T101" s="2" t="s">
        <v>913</v>
      </c>
      <c r="U101" s="2" t="s">
        <v>81</v>
      </c>
      <c r="V101" s="2" t="s">
        <v>308</v>
      </c>
      <c r="W101" s="2" t="s">
        <v>772</v>
      </c>
      <c r="X101" s="2" t="s">
        <v>67</v>
      </c>
      <c r="Y101" s="2" t="s">
        <v>67</v>
      </c>
      <c r="Z101" s="2" t="s">
        <v>74</v>
      </c>
      <c r="AA101" s="2" t="s">
        <v>71</v>
      </c>
      <c r="AB101" s="2" t="s">
        <v>67</v>
      </c>
      <c r="AC101" s="2" t="s">
        <v>67</v>
      </c>
      <c r="AD101" s="2" t="s">
        <v>67</v>
      </c>
      <c r="AE101" s="2" t="s">
        <v>914</v>
      </c>
      <c r="AF101" s="2" t="s">
        <v>915</v>
      </c>
      <c r="AG101" s="2" t="s">
        <v>916</v>
      </c>
      <c r="AH101" s="2" t="s">
        <v>67</v>
      </c>
      <c r="AI101" s="2" t="s">
        <v>67</v>
      </c>
      <c r="AJ101" s="2" t="s">
        <v>67</v>
      </c>
      <c r="AK101" s="2" t="s">
        <v>184</v>
      </c>
      <c r="AL101" s="2" t="s">
        <v>141</v>
      </c>
      <c r="AM101" s="2" t="s">
        <v>73</v>
      </c>
    </row>
    <row r="102" spans="1:39" ht="409.6" x14ac:dyDescent="0.2">
      <c r="A102" s="1">
        <v>45890.461157407408</v>
      </c>
      <c r="B102" s="1">
        <v>45890.47284722222</v>
      </c>
      <c r="C102" s="2" t="s">
        <v>42</v>
      </c>
      <c r="D102" s="2" t="s">
        <v>456</v>
      </c>
      <c r="E102">
        <v>100</v>
      </c>
      <c r="F102">
        <v>1010</v>
      </c>
      <c r="G102" s="2" t="s">
        <v>68</v>
      </c>
      <c r="H102" s="1">
        <v>45890.472861956019</v>
      </c>
      <c r="I102" s="2" t="s">
        <v>917</v>
      </c>
      <c r="J102" s="2" t="s">
        <v>67</v>
      </c>
      <c r="K102" s="2" t="s">
        <v>67</v>
      </c>
      <c r="L102" s="2" t="s">
        <v>67</v>
      </c>
      <c r="M102" s="2" t="s">
        <v>67</v>
      </c>
      <c r="N102">
        <v>43.0334</v>
      </c>
      <c r="O102">
        <v>-89.4512</v>
      </c>
      <c r="P102" s="2" t="s">
        <v>78</v>
      </c>
      <c r="Q102" s="2" t="s">
        <v>69</v>
      </c>
      <c r="R102" s="2" t="s">
        <v>299</v>
      </c>
      <c r="S102" s="2" t="s">
        <v>300</v>
      </c>
      <c r="T102" s="2" t="s">
        <v>307</v>
      </c>
      <c r="U102" s="2" t="s">
        <v>302</v>
      </c>
      <c r="V102" s="2" t="s">
        <v>918</v>
      </c>
      <c r="W102" s="2" t="s">
        <v>304</v>
      </c>
      <c r="X102" s="2" t="s">
        <v>67</v>
      </c>
      <c r="Y102" s="2" t="s">
        <v>67</v>
      </c>
      <c r="Z102" s="2" t="s">
        <v>74</v>
      </c>
      <c r="AA102" s="2" t="s">
        <v>71</v>
      </c>
      <c r="AB102" s="2" t="s">
        <v>67</v>
      </c>
      <c r="AC102" s="2" t="s">
        <v>67</v>
      </c>
      <c r="AD102" s="2" t="s">
        <v>67</v>
      </c>
      <c r="AE102" s="2" t="s">
        <v>919</v>
      </c>
      <c r="AF102" s="2" t="s">
        <v>920</v>
      </c>
      <c r="AG102" s="2" t="s">
        <v>921</v>
      </c>
      <c r="AH102" s="2" t="s">
        <v>67</v>
      </c>
      <c r="AI102" s="2" t="s">
        <v>67</v>
      </c>
      <c r="AJ102" s="2" t="s">
        <v>67</v>
      </c>
      <c r="AK102" s="2" t="s">
        <v>184</v>
      </c>
      <c r="AL102" s="2" t="s">
        <v>141</v>
      </c>
      <c r="AM102" s="2" t="s">
        <v>73</v>
      </c>
    </row>
    <row r="103" spans="1:39" ht="409.6" x14ac:dyDescent="0.2">
      <c r="A103" s="1">
        <v>45890.478807870371</v>
      </c>
      <c r="B103" s="1">
        <v>45890.480486111112</v>
      </c>
      <c r="C103" s="2" t="s">
        <v>42</v>
      </c>
      <c r="D103" s="2" t="s">
        <v>922</v>
      </c>
      <c r="E103">
        <v>100</v>
      </c>
      <c r="F103">
        <v>145</v>
      </c>
      <c r="G103" s="2" t="s">
        <v>68</v>
      </c>
      <c r="H103" s="1">
        <v>45890.480502303239</v>
      </c>
      <c r="I103" s="2" t="s">
        <v>923</v>
      </c>
      <c r="J103" s="2" t="s">
        <v>67</v>
      </c>
      <c r="K103" s="2" t="s">
        <v>67</v>
      </c>
      <c r="L103" s="2" t="s">
        <v>67</v>
      </c>
      <c r="M103" s="2" t="s">
        <v>67</v>
      </c>
      <c r="N103">
        <v>43.072499999999998</v>
      </c>
      <c r="O103">
        <v>-89.449100000000001</v>
      </c>
      <c r="P103" s="2" t="s">
        <v>78</v>
      </c>
      <c r="Q103" s="2" t="s">
        <v>69</v>
      </c>
      <c r="R103" s="2" t="s">
        <v>924</v>
      </c>
      <c r="S103" s="2" t="s">
        <v>925</v>
      </c>
      <c r="T103" s="2" t="s">
        <v>926</v>
      </c>
      <c r="U103" s="2" t="s">
        <v>67</v>
      </c>
      <c r="V103" s="2" t="s">
        <v>82</v>
      </c>
      <c r="W103" s="2" t="s">
        <v>927</v>
      </c>
      <c r="X103" s="2" t="s">
        <v>67</v>
      </c>
      <c r="Y103" s="2" t="s">
        <v>67</v>
      </c>
      <c r="Z103" s="2" t="s">
        <v>74</v>
      </c>
      <c r="AA103" s="2" t="s">
        <v>71</v>
      </c>
      <c r="AB103" s="2" t="s">
        <v>67</v>
      </c>
      <c r="AC103" s="2" t="s">
        <v>67</v>
      </c>
      <c r="AD103" s="2" t="s">
        <v>67</v>
      </c>
      <c r="AE103" s="2" t="s">
        <v>928</v>
      </c>
      <c r="AF103" s="2" t="s">
        <v>929</v>
      </c>
      <c r="AG103" s="2" t="s">
        <v>930</v>
      </c>
      <c r="AH103" s="2" t="s">
        <v>67</v>
      </c>
      <c r="AI103" s="2" t="s">
        <v>67</v>
      </c>
      <c r="AJ103" s="2" t="s">
        <v>67</v>
      </c>
      <c r="AK103" s="2" t="s">
        <v>184</v>
      </c>
      <c r="AL103" s="2" t="s">
        <v>141</v>
      </c>
      <c r="AM103" s="2" t="s">
        <v>73</v>
      </c>
    </row>
    <row r="104" spans="1:39" ht="409.6" x14ac:dyDescent="0.2">
      <c r="A104" s="1">
        <v>45884.397361111114</v>
      </c>
      <c r="B104" s="1">
        <v>45890.506238425929</v>
      </c>
      <c r="C104" s="2" t="s">
        <v>42</v>
      </c>
      <c r="D104" s="2" t="s">
        <v>85</v>
      </c>
      <c r="E104">
        <v>100</v>
      </c>
      <c r="F104">
        <v>527807</v>
      </c>
      <c r="G104" s="2" t="s">
        <v>68</v>
      </c>
      <c r="H104" s="1">
        <v>45890.506256782406</v>
      </c>
      <c r="I104" s="2" t="s">
        <v>931</v>
      </c>
      <c r="J104" s="2" t="s">
        <v>67</v>
      </c>
      <c r="K104" s="2" t="s">
        <v>67</v>
      </c>
      <c r="L104" s="2" t="s">
        <v>67</v>
      </c>
      <c r="M104" s="2" t="s">
        <v>67</v>
      </c>
      <c r="N104">
        <v>43.072499999999998</v>
      </c>
      <c r="O104">
        <v>-89.449100000000001</v>
      </c>
      <c r="P104" s="2" t="s">
        <v>78</v>
      </c>
      <c r="Q104" s="2" t="s">
        <v>69</v>
      </c>
      <c r="R104" s="2" t="s">
        <v>932</v>
      </c>
      <c r="S104" s="2" t="s">
        <v>933</v>
      </c>
      <c r="T104" s="2" t="s">
        <v>934</v>
      </c>
      <c r="U104" s="2" t="s">
        <v>596</v>
      </c>
      <c r="V104" s="2" t="s">
        <v>935</v>
      </c>
      <c r="W104" s="2" t="s">
        <v>356</v>
      </c>
      <c r="X104" s="2" t="s">
        <v>67</v>
      </c>
      <c r="Y104" s="2" t="s">
        <v>67</v>
      </c>
      <c r="Z104" s="2" t="s">
        <v>74</v>
      </c>
      <c r="AA104" s="2" t="s">
        <v>71</v>
      </c>
      <c r="AB104" s="2" t="s">
        <v>67</v>
      </c>
      <c r="AC104" s="2" t="s">
        <v>67</v>
      </c>
      <c r="AD104" s="2" t="s">
        <v>67</v>
      </c>
      <c r="AE104" s="2" t="s">
        <v>936</v>
      </c>
      <c r="AF104" s="2" t="s">
        <v>937</v>
      </c>
      <c r="AG104" s="2" t="s">
        <v>938</v>
      </c>
      <c r="AH104" s="2" t="s">
        <v>67</v>
      </c>
      <c r="AI104" s="2" t="s">
        <v>67</v>
      </c>
      <c r="AJ104" s="2" t="s">
        <v>67</v>
      </c>
      <c r="AK104" s="2" t="s">
        <v>72</v>
      </c>
      <c r="AL104" s="2" t="s">
        <v>141</v>
      </c>
      <c r="AM104" s="2" t="s">
        <v>73</v>
      </c>
    </row>
    <row r="105" spans="1:39" ht="409.6" x14ac:dyDescent="0.2">
      <c r="A105" s="1">
        <v>45890.53533564815</v>
      </c>
      <c r="B105" s="1">
        <v>45890.537557870368</v>
      </c>
      <c r="C105" s="2" t="s">
        <v>42</v>
      </c>
      <c r="D105" s="2" t="s">
        <v>939</v>
      </c>
      <c r="E105">
        <v>100</v>
      </c>
      <c r="F105">
        <v>192</v>
      </c>
      <c r="G105" s="2" t="s">
        <v>68</v>
      </c>
      <c r="H105" s="1">
        <v>45890.537573587964</v>
      </c>
      <c r="I105" s="2" t="s">
        <v>940</v>
      </c>
      <c r="J105" s="2" t="s">
        <v>67</v>
      </c>
      <c r="K105" s="2" t="s">
        <v>67</v>
      </c>
      <c r="L105" s="2" t="s">
        <v>67</v>
      </c>
      <c r="M105" s="2" t="s">
        <v>67</v>
      </c>
      <c r="N105">
        <v>43.072499999999998</v>
      </c>
      <c r="O105">
        <v>-89.449100000000001</v>
      </c>
      <c r="P105" s="2" t="s">
        <v>78</v>
      </c>
      <c r="Q105" s="2" t="s">
        <v>69</v>
      </c>
      <c r="R105" s="2" t="s">
        <v>941</v>
      </c>
      <c r="S105" s="2" t="s">
        <v>942</v>
      </c>
      <c r="T105" s="2" t="s">
        <v>943</v>
      </c>
      <c r="U105" s="2" t="s">
        <v>218</v>
      </c>
      <c r="V105" s="2" t="s">
        <v>686</v>
      </c>
      <c r="W105" s="2" t="s">
        <v>944</v>
      </c>
      <c r="X105" s="2" t="s">
        <v>67</v>
      </c>
      <c r="Y105" s="2" t="s">
        <v>67</v>
      </c>
      <c r="Z105" s="2" t="s">
        <v>74</v>
      </c>
      <c r="AA105" s="2" t="s">
        <v>71</v>
      </c>
      <c r="AB105" s="2" t="s">
        <v>67</v>
      </c>
      <c r="AC105" s="2" t="s">
        <v>67</v>
      </c>
      <c r="AD105" s="2" t="s">
        <v>67</v>
      </c>
      <c r="AE105" s="2" t="s">
        <v>945</v>
      </c>
      <c r="AF105" s="2" t="s">
        <v>946</v>
      </c>
      <c r="AG105" s="2" t="s">
        <v>947</v>
      </c>
      <c r="AH105" s="2" t="s">
        <v>67</v>
      </c>
      <c r="AI105" s="2" t="s">
        <v>67</v>
      </c>
      <c r="AJ105" s="2" t="s">
        <v>67</v>
      </c>
      <c r="AK105" s="2" t="s">
        <v>184</v>
      </c>
      <c r="AL105" s="2" t="s">
        <v>141</v>
      </c>
      <c r="AM105" s="2" t="s">
        <v>73</v>
      </c>
    </row>
    <row r="106" spans="1:39" ht="409.6" x14ac:dyDescent="0.2">
      <c r="A106" s="1">
        <v>45890.544166666667</v>
      </c>
      <c r="B106" s="1">
        <v>45890.545474537037</v>
      </c>
      <c r="C106" s="2" t="s">
        <v>42</v>
      </c>
      <c r="D106" s="2" t="s">
        <v>338</v>
      </c>
      <c r="E106">
        <v>100</v>
      </c>
      <c r="F106">
        <v>113</v>
      </c>
      <c r="G106" s="2" t="s">
        <v>68</v>
      </c>
      <c r="H106" s="1">
        <v>45890.545487592593</v>
      </c>
      <c r="I106" s="2" t="s">
        <v>948</v>
      </c>
      <c r="J106" s="2" t="s">
        <v>67</v>
      </c>
      <c r="K106" s="2" t="s">
        <v>67</v>
      </c>
      <c r="L106" s="2" t="s">
        <v>67</v>
      </c>
      <c r="M106" s="2" t="s">
        <v>67</v>
      </c>
      <c r="N106">
        <v>43.072499999999998</v>
      </c>
      <c r="O106">
        <v>-89.449100000000001</v>
      </c>
      <c r="P106" s="2" t="s">
        <v>78</v>
      </c>
      <c r="Q106" s="2" t="s">
        <v>69</v>
      </c>
      <c r="R106" s="2" t="s">
        <v>949</v>
      </c>
      <c r="S106" s="2" t="s">
        <v>950</v>
      </c>
      <c r="T106" s="2" t="s">
        <v>951</v>
      </c>
      <c r="U106" s="2" t="s">
        <v>81</v>
      </c>
      <c r="V106" s="2" t="s">
        <v>161</v>
      </c>
      <c r="W106" s="2" t="s">
        <v>952</v>
      </c>
      <c r="X106" s="2" t="s">
        <v>67</v>
      </c>
      <c r="Y106" s="2" t="s">
        <v>67</v>
      </c>
      <c r="Z106" s="2" t="s">
        <v>74</v>
      </c>
      <c r="AA106" s="2" t="s">
        <v>71</v>
      </c>
      <c r="AB106" s="2" t="s">
        <v>67</v>
      </c>
      <c r="AC106" s="2" t="s">
        <v>67</v>
      </c>
      <c r="AD106" s="2" t="s">
        <v>67</v>
      </c>
      <c r="AE106" s="2" t="s">
        <v>953</v>
      </c>
      <c r="AF106" s="2" t="s">
        <v>954</v>
      </c>
      <c r="AG106" s="2" t="s">
        <v>955</v>
      </c>
      <c r="AH106" s="2" t="s">
        <v>67</v>
      </c>
      <c r="AI106" s="2" t="s">
        <v>67</v>
      </c>
      <c r="AJ106" s="2" t="s">
        <v>67</v>
      </c>
      <c r="AK106" s="2" t="s">
        <v>184</v>
      </c>
      <c r="AL106" s="2" t="s">
        <v>141</v>
      </c>
      <c r="AM106" s="2" t="s">
        <v>73</v>
      </c>
    </row>
    <row r="107" spans="1:39" ht="96" x14ac:dyDescent="0.2">
      <c r="A107" s="1">
        <v>45888.546018518522</v>
      </c>
      <c r="B107" s="1">
        <v>45890.582754629628</v>
      </c>
      <c r="C107" s="2" t="s">
        <v>42</v>
      </c>
      <c r="D107" s="2" t="s">
        <v>956</v>
      </c>
      <c r="E107">
        <v>100</v>
      </c>
      <c r="F107">
        <v>175973</v>
      </c>
      <c r="G107" s="2" t="s">
        <v>68</v>
      </c>
      <c r="H107" s="1">
        <v>45890.58277050926</v>
      </c>
      <c r="I107" s="2" t="s">
        <v>957</v>
      </c>
      <c r="J107" s="2" t="s">
        <v>67</v>
      </c>
      <c r="K107" s="2" t="s">
        <v>67</v>
      </c>
      <c r="L107" s="2" t="s">
        <v>67</v>
      </c>
      <c r="M107" s="2" t="s">
        <v>67</v>
      </c>
      <c r="N107">
        <v>43.034399999999998</v>
      </c>
      <c r="O107">
        <v>-89.500699999999995</v>
      </c>
      <c r="P107" s="2" t="s">
        <v>78</v>
      </c>
      <c r="Q107" s="2" t="s">
        <v>69</v>
      </c>
      <c r="R107" s="2" t="s">
        <v>958</v>
      </c>
      <c r="S107" s="2" t="s">
        <v>959</v>
      </c>
      <c r="T107" s="2" t="s">
        <v>960</v>
      </c>
      <c r="U107" s="2" t="s">
        <v>67</v>
      </c>
      <c r="V107" s="2" t="s">
        <v>82</v>
      </c>
      <c r="W107" s="2" t="s">
        <v>961</v>
      </c>
      <c r="X107" s="2" t="s">
        <v>67</v>
      </c>
      <c r="Y107" s="2" t="s">
        <v>67</v>
      </c>
      <c r="Z107" s="2" t="s">
        <v>71</v>
      </c>
      <c r="AA107" s="2" t="s">
        <v>74</v>
      </c>
      <c r="AB107" s="2" t="s">
        <v>67</v>
      </c>
      <c r="AC107" s="2" t="s">
        <v>67</v>
      </c>
      <c r="AD107" s="2" t="s">
        <v>67</v>
      </c>
      <c r="AE107" s="2" t="s">
        <v>67</v>
      </c>
      <c r="AF107" s="2" t="s">
        <v>67</v>
      </c>
      <c r="AG107" s="2" t="s">
        <v>67</v>
      </c>
      <c r="AH107" s="2" t="s">
        <v>962</v>
      </c>
      <c r="AI107" s="2" t="s">
        <v>963</v>
      </c>
      <c r="AJ107" s="2" t="s">
        <v>67</v>
      </c>
      <c r="AK107" s="2" t="s">
        <v>184</v>
      </c>
      <c r="AL107" s="2" t="s">
        <v>141</v>
      </c>
      <c r="AM107" s="2" t="s">
        <v>73</v>
      </c>
    </row>
    <row r="108" spans="1:39" ht="48" x14ac:dyDescent="0.2">
      <c r="A108" s="1">
        <v>45890.588576388887</v>
      </c>
      <c r="B108" s="1">
        <v>45890.592256944445</v>
      </c>
      <c r="C108" s="2" t="s">
        <v>42</v>
      </c>
      <c r="D108" s="2" t="s">
        <v>964</v>
      </c>
      <c r="E108">
        <v>100</v>
      </c>
      <c r="F108">
        <v>317</v>
      </c>
      <c r="G108" s="2" t="s">
        <v>68</v>
      </c>
      <c r="H108" s="1">
        <v>45890.592265659725</v>
      </c>
      <c r="I108" s="2" t="s">
        <v>965</v>
      </c>
      <c r="J108" s="2" t="s">
        <v>67</v>
      </c>
      <c r="K108" s="2" t="s">
        <v>67</v>
      </c>
      <c r="L108" s="2" t="s">
        <v>67</v>
      </c>
      <c r="M108" s="2" t="s">
        <v>67</v>
      </c>
      <c r="N108">
        <v>43.072499999999998</v>
      </c>
      <c r="O108">
        <v>-89.449100000000001</v>
      </c>
      <c r="P108" s="2" t="s">
        <v>78</v>
      </c>
      <c r="Q108" s="2" t="s">
        <v>69</v>
      </c>
      <c r="R108" s="2" t="s">
        <v>966</v>
      </c>
      <c r="S108" s="2" t="s">
        <v>966</v>
      </c>
      <c r="T108" s="2" t="s">
        <v>967</v>
      </c>
      <c r="U108" s="2" t="s">
        <v>966</v>
      </c>
      <c r="V108" s="2" t="s">
        <v>966</v>
      </c>
      <c r="W108" s="2" t="s">
        <v>966</v>
      </c>
      <c r="X108" s="2" t="s">
        <v>67</v>
      </c>
      <c r="Y108" s="2" t="s">
        <v>67</v>
      </c>
      <c r="Z108" s="2" t="s">
        <v>74</v>
      </c>
      <c r="AA108" s="2" t="s">
        <v>71</v>
      </c>
      <c r="AB108" s="2" t="s">
        <v>67</v>
      </c>
      <c r="AC108" s="2" t="s">
        <v>67</v>
      </c>
      <c r="AD108" s="2" t="s">
        <v>67</v>
      </c>
      <c r="AE108" s="2" t="s">
        <v>966</v>
      </c>
      <c r="AF108" s="2" t="s">
        <v>966</v>
      </c>
      <c r="AG108" s="2" t="s">
        <v>966</v>
      </c>
      <c r="AH108" s="2" t="s">
        <v>67</v>
      </c>
      <c r="AI108" s="2" t="s">
        <v>67</v>
      </c>
      <c r="AJ108" s="2" t="s">
        <v>67</v>
      </c>
      <c r="AK108" s="2" t="s">
        <v>184</v>
      </c>
      <c r="AL108" s="2" t="s">
        <v>141</v>
      </c>
      <c r="AM108" s="2" t="s">
        <v>73</v>
      </c>
    </row>
    <row r="109" spans="1:39" ht="409.6" x14ac:dyDescent="0.2">
      <c r="A109" s="1">
        <v>45890.602754629632</v>
      </c>
      <c r="B109" s="1">
        <v>45890.613159722219</v>
      </c>
      <c r="C109" s="2" t="s">
        <v>42</v>
      </c>
      <c r="D109" s="2" t="s">
        <v>968</v>
      </c>
      <c r="E109">
        <v>100</v>
      </c>
      <c r="F109">
        <v>899</v>
      </c>
      <c r="G109" s="2" t="s">
        <v>68</v>
      </c>
      <c r="H109" s="1">
        <v>45890.613175625003</v>
      </c>
      <c r="I109" s="2" t="s">
        <v>969</v>
      </c>
      <c r="J109" s="2" t="s">
        <v>67</v>
      </c>
      <c r="K109" s="2" t="s">
        <v>67</v>
      </c>
      <c r="L109" s="2" t="s">
        <v>67</v>
      </c>
      <c r="M109" s="2" t="s">
        <v>67</v>
      </c>
      <c r="N109">
        <v>43.072499999999998</v>
      </c>
      <c r="O109">
        <v>-89.449100000000001</v>
      </c>
      <c r="P109" s="2" t="s">
        <v>78</v>
      </c>
      <c r="Q109" s="2" t="s">
        <v>69</v>
      </c>
      <c r="R109" s="2" t="s">
        <v>885</v>
      </c>
      <c r="S109" s="2" t="s">
        <v>970</v>
      </c>
      <c r="T109" s="2" t="s">
        <v>971</v>
      </c>
      <c r="U109" s="2" t="s">
        <v>125</v>
      </c>
      <c r="V109" s="2" t="s">
        <v>118</v>
      </c>
      <c r="W109" s="2" t="s">
        <v>972</v>
      </c>
      <c r="X109" s="2" t="s">
        <v>67</v>
      </c>
      <c r="Y109" s="2" t="s">
        <v>67</v>
      </c>
      <c r="Z109" s="2" t="s">
        <v>74</v>
      </c>
      <c r="AA109" s="2" t="s">
        <v>71</v>
      </c>
      <c r="AB109" s="2" t="s">
        <v>67</v>
      </c>
      <c r="AC109" s="2" t="s">
        <v>67</v>
      </c>
      <c r="AD109" s="2" t="s">
        <v>67</v>
      </c>
      <c r="AE109" s="2" t="s">
        <v>973</v>
      </c>
      <c r="AF109" s="2" t="s">
        <v>974</v>
      </c>
      <c r="AG109" s="2" t="s">
        <v>975</v>
      </c>
      <c r="AH109" s="2" t="s">
        <v>67</v>
      </c>
      <c r="AI109" s="2" t="s">
        <v>67</v>
      </c>
      <c r="AJ109" s="2" t="s">
        <v>67</v>
      </c>
      <c r="AK109" s="2" t="s">
        <v>184</v>
      </c>
      <c r="AL109" s="2" t="s">
        <v>141</v>
      </c>
      <c r="AM109" s="2" t="s">
        <v>73</v>
      </c>
    </row>
    <row r="110" spans="1:39" ht="409.6" x14ac:dyDescent="0.2">
      <c r="A110" s="1">
        <v>45890.549641203703</v>
      </c>
      <c r="B110" s="1">
        <v>45890.646284722221</v>
      </c>
      <c r="C110" s="2" t="s">
        <v>42</v>
      </c>
      <c r="D110" s="2" t="s">
        <v>976</v>
      </c>
      <c r="E110">
        <v>100</v>
      </c>
      <c r="F110">
        <v>8349</v>
      </c>
      <c r="G110" s="2" t="s">
        <v>68</v>
      </c>
      <c r="H110" s="1">
        <v>45890.646292696758</v>
      </c>
      <c r="I110" s="2" t="s">
        <v>977</v>
      </c>
      <c r="J110" s="2" t="s">
        <v>67</v>
      </c>
      <c r="K110" s="2" t="s">
        <v>67</v>
      </c>
      <c r="L110" s="2" t="s">
        <v>67</v>
      </c>
      <c r="M110" s="2" t="s">
        <v>67</v>
      </c>
      <c r="N110">
        <v>43.072499999999998</v>
      </c>
      <c r="O110">
        <v>-89.449100000000001</v>
      </c>
      <c r="P110" s="2" t="s">
        <v>78</v>
      </c>
      <c r="Q110" s="2" t="s">
        <v>69</v>
      </c>
      <c r="R110" s="2" t="s">
        <v>978</v>
      </c>
      <c r="S110" s="2" t="s">
        <v>979</v>
      </c>
      <c r="T110" s="2" t="s">
        <v>980</v>
      </c>
      <c r="U110" s="2" t="s">
        <v>160</v>
      </c>
      <c r="V110" s="2" t="s">
        <v>126</v>
      </c>
      <c r="W110" s="2" t="s">
        <v>266</v>
      </c>
      <c r="X110" s="2" t="s">
        <v>67</v>
      </c>
      <c r="Y110" s="2" t="s">
        <v>67</v>
      </c>
      <c r="Z110" s="2" t="s">
        <v>74</v>
      </c>
      <c r="AA110" s="2" t="s">
        <v>74</v>
      </c>
      <c r="AB110" s="2" t="s">
        <v>67</v>
      </c>
      <c r="AC110" s="2" t="s">
        <v>67</v>
      </c>
      <c r="AD110" s="2" t="s">
        <v>67</v>
      </c>
      <c r="AE110" s="2" t="s">
        <v>981</v>
      </c>
      <c r="AF110" s="2" t="s">
        <v>982</v>
      </c>
      <c r="AG110" s="2" t="s">
        <v>983</v>
      </c>
      <c r="AH110" s="2" t="s">
        <v>984</v>
      </c>
      <c r="AI110" s="2" t="s">
        <v>985</v>
      </c>
      <c r="AJ110" s="2" t="s">
        <v>67</v>
      </c>
      <c r="AK110" s="2" t="s">
        <v>184</v>
      </c>
      <c r="AL110" s="2" t="s">
        <v>141</v>
      </c>
      <c r="AM110" s="2" t="s">
        <v>73</v>
      </c>
    </row>
    <row r="111" spans="1:39" ht="409.6" x14ac:dyDescent="0.2">
      <c r="A111" s="1">
        <v>45890.647222222222</v>
      </c>
      <c r="B111" s="1">
        <v>45890.648148148146</v>
      </c>
      <c r="C111" s="2" t="s">
        <v>42</v>
      </c>
      <c r="D111" s="2" t="s">
        <v>986</v>
      </c>
      <c r="E111">
        <v>100</v>
      </c>
      <c r="F111">
        <v>80</v>
      </c>
      <c r="G111" s="2" t="s">
        <v>68</v>
      </c>
      <c r="H111" s="1">
        <v>45890.648160208337</v>
      </c>
      <c r="I111" s="2" t="s">
        <v>987</v>
      </c>
      <c r="J111" s="2" t="s">
        <v>67</v>
      </c>
      <c r="K111" s="2" t="s">
        <v>67</v>
      </c>
      <c r="L111" s="2" t="s">
        <v>67</v>
      </c>
      <c r="M111" s="2" t="s">
        <v>67</v>
      </c>
      <c r="N111">
        <v>43.072499999999998</v>
      </c>
      <c r="O111">
        <v>-89.449100000000001</v>
      </c>
      <c r="P111" s="2" t="s">
        <v>78</v>
      </c>
      <c r="Q111" s="2" t="s">
        <v>69</v>
      </c>
      <c r="R111" s="2" t="s">
        <v>988</v>
      </c>
      <c r="S111" s="2" t="s">
        <v>989</v>
      </c>
      <c r="T111" s="2" t="s">
        <v>990</v>
      </c>
      <c r="U111" s="2" t="s">
        <v>67</v>
      </c>
      <c r="V111" s="2" t="s">
        <v>82</v>
      </c>
      <c r="W111" s="2" t="s">
        <v>991</v>
      </c>
      <c r="X111" s="2" t="s">
        <v>67</v>
      </c>
      <c r="Y111" s="2" t="s">
        <v>67</v>
      </c>
      <c r="Z111" s="2" t="s">
        <v>74</v>
      </c>
      <c r="AA111" s="2" t="s">
        <v>71</v>
      </c>
      <c r="AB111" s="2" t="s">
        <v>67</v>
      </c>
      <c r="AC111" s="2" t="s">
        <v>67</v>
      </c>
      <c r="AD111" s="2" t="s">
        <v>67</v>
      </c>
      <c r="AE111" s="2" t="s">
        <v>992</v>
      </c>
      <c r="AF111" s="2" t="s">
        <v>993</v>
      </c>
      <c r="AG111" s="2" t="s">
        <v>994</v>
      </c>
      <c r="AH111" s="2" t="s">
        <v>67</v>
      </c>
      <c r="AI111" s="2" t="s">
        <v>67</v>
      </c>
      <c r="AJ111" s="2" t="s">
        <v>67</v>
      </c>
      <c r="AK111" s="2" t="s">
        <v>184</v>
      </c>
      <c r="AL111" s="2" t="s">
        <v>141</v>
      </c>
      <c r="AM111" s="2" t="s">
        <v>73</v>
      </c>
    </row>
    <row r="112" spans="1:39" ht="409.6" x14ac:dyDescent="0.2">
      <c r="A112" s="1">
        <v>45891.335081018522</v>
      </c>
      <c r="B112" s="1">
        <v>45891.340601851851</v>
      </c>
      <c r="C112" s="2" t="s">
        <v>42</v>
      </c>
      <c r="D112" s="2" t="s">
        <v>995</v>
      </c>
      <c r="E112">
        <v>100</v>
      </c>
      <c r="F112">
        <v>477</v>
      </c>
      <c r="G112" s="2" t="s">
        <v>68</v>
      </c>
      <c r="H112" s="1">
        <v>45891.340618275462</v>
      </c>
      <c r="I112" s="2" t="s">
        <v>996</v>
      </c>
      <c r="J112" s="2" t="s">
        <v>67</v>
      </c>
      <c r="K112" s="2" t="s">
        <v>67</v>
      </c>
      <c r="L112" s="2" t="s">
        <v>67</v>
      </c>
      <c r="M112" s="2" t="s">
        <v>67</v>
      </c>
      <c r="N112">
        <v>43.072499999999998</v>
      </c>
      <c r="O112">
        <v>-89.449100000000001</v>
      </c>
      <c r="P112" s="2" t="s">
        <v>78</v>
      </c>
      <c r="Q112" s="2" t="s">
        <v>69</v>
      </c>
      <c r="R112" s="2" t="s">
        <v>997</v>
      </c>
      <c r="S112" s="2" t="s">
        <v>998</v>
      </c>
      <c r="T112" s="2" t="s">
        <v>999</v>
      </c>
      <c r="U112" s="2" t="s">
        <v>67</v>
      </c>
      <c r="V112" s="2" t="s">
        <v>237</v>
      </c>
      <c r="W112" s="2" t="s">
        <v>482</v>
      </c>
      <c r="X112" s="2" t="s">
        <v>67</v>
      </c>
      <c r="Y112" s="2" t="s">
        <v>67</v>
      </c>
      <c r="Z112" s="2" t="s">
        <v>74</v>
      </c>
      <c r="AA112" s="2" t="s">
        <v>71</v>
      </c>
      <c r="AB112" s="2" t="s">
        <v>67</v>
      </c>
      <c r="AC112" s="2" t="s">
        <v>67</v>
      </c>
      <c r="AD112" s="2" t="s">
        <v>67</v>
      </c>
      <c r="AE112" s="2" t="s">
        <v>1000</v>
      </c>
      <c r="AF112" s="2" t="s">
        <v>1001</v>
      </c>
      <c r="AG112" s="2" t="s">
        <v>1002</v>
      </c>
      <c r="AH112" s="2" t="s">
        <v>67</v>
      </c>
      <c r="AI112" s="2" t="s">
        <v>67</v>
      </c>
      <c r="AJ112" s="2" t="s">
        <v>67</v>
      </c>
      <c r="AK112" s="2" t="s">
        <v>242</v>
      </c>
      <c r="AL112" s="2" t="s">
        <v>141</v>
      </c>
      <c r="AM112" s="2" t="s">
        <v>73</v>
      </c>
    </row>
    <row r="113" spans="1:39" ht="96" x14ac:dyDescent="0.2">
      <c r="A113" s="1">
        <v>45891.348634259259</v>
      </c>
      <c r="B113" s="1">
        <v>45891.350069444445</v>
      </c>
      <c r="C113" s="2" t="s">
        <v>42</v>
      </c>
      <c r="D113" s="2" t="s">
        <v>1003</v>
      </c>
      <c r="E113">
        <v>100</v>
      </c>
      <c r="F113">
        <v>124</v>
      </c>
      <c r="G113" s="2" t="s">
        <v>68</v>
      </c>
      <c r="H113" s="1">
        <v>45891.350079490738</v>
      </c>
      <c r="I113" s="2" t="s">
        <v>1004</v>
      </c>
      <c r="J113" s="2" t="s">
        <v>67</v>
      </c>
      <c r="K113" s="2" t="s">
        <v>67</v>
      </c>
      <c r="L113" s="2" t="s">
        <v>67</v>
      </c>
      <c r="M113" s="2" t="s">
        <v>67</v>
      </c>
      <c r="N113">
        <v>43.072499999999998</v>
      </c>
      <c r="O113">
        <v>-89.449100000000001</v>
      </c>
      <c r="P113" s="2" t="s">
        <v>78</v>
      </c>
      <c r="Q113" s="2" t="s">
        <v>69</v>
      </c>
      <c r="R113" s="2" t="s">
        <v>1005</v>
      </c>
      <c r="S113" s="2" t="s">
        <v>1006</v>
      </c>
      <c r="T113" s="2" t="s">
        <v>1007</v>
      </c>
      <c r="U113" s="2" t="s">
        <v>67</v>
      </c>
      <c r="V113" s="2" t="s">
        <v>126</v>
      </c>
      <c r="W113" s="2" t="s">
        <v>533</v>
      </c>
      <c r="X113" s="2" t="s">
        <v>67</v>
      </c>
      <c r="Y113" s="2" t="s">
        <v>67</v>
      </c>
      <c r="Z113" s="2" t="s">
        <v>71</v>
      </c>
      <c r="AA113" s="2" t="s">
        <v>71</v>
      </c>
      <c r="AB113" s="2" t="s">
        <v>67</v>
      </c>
      <c r="AC113" s="2" t="s">
        <v>67</v>
      </c>
      <c r="AD113" s="2" t="s">
        <v>67</v>
      </c>
      <c r="AE113" s="2" t="s">
        <v>67</v>
      </c>
      <c r="AF113" s="2" t="s">
        <v>67</v>
      </c>
      <c r="AG113" s="2" t="s">
        <v>67</v>
      </c>
      <c r="AH113" s="2" t="s">
        <v>67</v>
      </c>
      <c r="AI113" s="2" t="s">
        <v>67</v>
      </c>
      <c r="AJ113" s="2" t="s">
        <v>67</v>
      </c>
      <c r="AK113" s="2" t="s">
        <v>242</v>
      </c>
      <c r="AL113" s="2" t="s">
        <v>141</v>
      </c>
      <c r="AM113" s="2" t="s">
        <v>73</v>
      </c>
    </row>
    <row r="114" spans="1:39" ht="409.6" x14ac:dyDescent="0.2">
      <c r="A114" s="1">
        <v>45891.350439814814</v>
      </c>
      <c r="B114" s="1">
        <v>45891.355590277781</v>
      </c>
      <c r="C114" s="2" t="s">
        <v>42</v>
      </c>
      <c r="D114" s="2" t="s">
        <v>1003</v>
      </c>
      <c r="E114">
        <v>100</v>
      </c>
      <c r="F114">
        <v>444</v>
      </c>
      <c r="G114" s="2" t="s">
        <v>68</v>
      </c>
      <c r="H114" s="1">
        <v>45891.355598159724</v>
      </c>
      <c r="I114" s="2" t="s">
        <v>1008</v>
      </c>
      <c r="J114" s="2" t="s">
        <v>67</v>
      </c>
      <c r="K114" s="2" t="s">
        <v>67</v>
      </c>
      <c r="L114" s="2" t="s">
        <v>67</v>
      </c>
      <c r="M114" s="2" t="s">
        <v>67</v>
      </c>
      <c r="N114">
        <v>43.072499999999998</v>
      </c>
      <c r="O114">
        <v>-89.449100000000001</v>
      </c>
      <c r="P114" s="2" t="s">
        <v>78</v>
      </c>
      <c r="Q114" s="2" t="s">
        <v>69</v>
      </c>
      <c r="R114" s="2" t="s">
        <v>1005</v>
      </c>
      <c r="S114" s="2" t="s">
        <v>1006</v>
      </c>
      <c r="T114" s="2" t="s">
        <v>1007</v>
      </c>
      <c r="U114" s="2" t="s">
        <v>67</v>
      </c>
      <c r="V114" s="2" t="s">
        <v>450</v>
      </c>
      <c r="W114" s="2" t="s">
        <v>1009</v>
      </c>
      <c r="X114" s="2" t="s">
        <v>67</v>
      </c>
      <c r="Y114" s="2" t="s">
        <v>67</v>
      </c>
      <c r="Z114" s="2" t="s">
        <v>74</v>
      </c>
      <c r="AA114" s="2" t="s">
        <v>71</v>
      </c>
      <c r="AB114" s="2" t="s">
        <v>67</v>
      </c>
      <c r="AC114" s="2" t="s">
        <v>67</v>
      </c>
      <c r="AD114" s="2" t="s">
        <v>67</v>
      </c>
      <c r="AE114" s="2" t="s">
        <v>1010</v>
      </c>
      <c r="AF114" s="2" t="s">
        <v>1011</v>
      </c>
      <c r="AG114" s="2" t="s">
        <v>1012</v>
      </c>
      <c r="AH114" s="2" t="s">
        <v>67</v>
      </c>
      <c r="AI114" s="2" t="s">
        <v>67</v>
      </c>
      <c r="AJ114" s="2" t="s">
        <v>67</v>
      </c>
      <c r="AK114" s="2" t="s">
        <v>242</v>
      </c>
      <c r="AL114" s="2" t="s">
        <v>141</v>
      </c>
      <c r="AM114" s="2" t="s">
        <v>73</v>
      </c>
    </row>
    <row r="115" spans="1:39" ht="409.6" x14ac:dyDescent="0.2">
      <c r="A115" s="1">
        <v>45891.355381944442</v>
      </c>
      <c r="B115" s="1">
        <v>45891.356921296298</v>
      </c>
      <c r="C115" s="2" t="s">
        <v>42</v>
      </c>
      <c r="D115" s="2" t="s">
        <v>1013</v>
      </c>
      <c r="E115">
        <v>100</v>
      </c>
      <c r="F115">
        <v>133</v>
      </c>
      <c r="G115" s="2" t="s">
        <v>68</v>
      </c>
      <c r="H115" s="1">
        <v>45891.356937094904</v>
      </c>
      <c r="I115" s="2" t="s">
        <v>1014</v>
      </c>
      <c r="J115" s="2" t="s">
        <v>67</v>
      </c>
      <c r="K115" s="2" t="s">
        <v>67</v>
      </c>
      <c r="L115" s="2" t="s">
        <v>67</v>
      </c>
      <c r="M115" s="2" t="s">
        <v>67</v>
      </c>
      <c r="N115">
        <v>43.072499999999998</v>
      </c>
      <c r="O115">
        <v>-89.449100000000001</v>
      </c>
      <c r="P115" s="2" t="s">
        <v>78</v>
      </c>
      <c r="Q115" s="2" t="s">
        <v>69</v>
      </c>
      <c r="R115" s="2" t="s">
        <v>1015</v>
      </c>
      <c r="S115" s="2" t="s">
        <v>1016</v>
      </c>
      <c r="T115" s="2" t="s">
        <v>602</v>
      </c>
      <c r="U115" s="2" t="s">
        <v>125</v>
      </c>
      <c r="V115" s="2" t="s">
        <v>82</v>
      </c>
      <c r="W115" s="2" t="s">
        <v>812</v>
      </c>
      <c r="X115" s="2" t="s">
        <v>67</v>
      </c>
      <c r="Y115" s="2" t="s">
        <v>67</v>
      </c>
      <c r="Z115" s="2" t="s">
        <v>74</v>
      </c>
      <c r="AA115" s="2" t="s">
        <v>71</v>
      </c>
      <c r="AB115" s="2" t="s">
        <v>67</v>
      </c>
      <c r="AC115" s="2" t="s">
        <v>67</v>
      </c>
      <c r="AD115" s="2" t="s">
        <v>67</v>
      </c>
      <c r="AE115" s="2" t="s">
        <v>1017</v>
      </c>
      <c r="AF115" s="2" t="s">
        <v>1018</v>
      </c>
      <c r="AG115" s="2" t="s">
        <v>1019</v>
      </c>
      <c r="AH115" s="2" t="s">
        <v>67</v>
      </c>
      <c r="AI115" s="2" t="s">
        <v>67</v>
      </c>
      <c r="AJ115" s="2" t="s">
        <v>67</v>
      </c>
      <c r="AK115" s="2" t="s">
        <v>242</v>
      </c>
      <c r="AL115" s="2" t="s">
        <v>141</v>
      </c>
      <c r="AM115" s="2" t="s">
        <v>73</v>
      </c>
    </row>
    <row r="116" spans="1:39" ht="409.6" x14ac:dyDescent="0.2">
      <c r="A116" s="1">
        <v>45891.35628472222</v>
      </c>
      <c r="B116" s="1">
        <v>45891.357175925928</v>
      </c>
      <c r="C116" s="2" t="s">
        <v>42</v>
      </c>
      <c r="D116" s="2" t="s">
        <v>1003</v>
      </c>
      <c r="E116">
        <v>100</v>
      </c>
      <c r="F116">
        <v>77</v>
      </c>
      <c r="G116" s="2" t="s">
        <v>68</v>
      </c>
      <c r="H116" s="1">
        <v>45891.357187986112</v>
      </c>
      <c r="I116" s="2" t="s">
        <v>1020</v>
      </c>
      <c r="J116" s="2" t="s">
        <v>67</v>
      </c>
      <c r="K116" s="2" t="s">
        <v>67</v>
      </c>
      <c r="L116" s="2" t="s">
        <v>67</v>
      </c>
      <c r="M116" s="2" t="s">
        <v>67</v>
      </c>
      <c r="N116">
        <v>43.072499999999998</v>
      </c>
      <c r="O116">
        <v>-89.449100000000001</v>
      </c>
      <c r="P116" s="2" t="s">
        <v>78</v>
      </c>
      <c r="Q116" s="2" t="s">
        <v>69</v>
      </c>
      <c r="R116" s="2" t="s">
        <v>1005</v>
      </c>
      <c r="S116" s="2" t="s">
        <v>1006</v>
      </c>
      <c r="T116" s="2" t="s">
        <v>1021</v>
      </c>
      <c r="U116" s="2" t="s">
        <v>67</v>
      </c>
      <c r="V116" s="2" t="s">
        <v>126</v>
      </c>
      <c r="W116" s="2" t="s">
        <v>533</v>
      </c>
      <c r="X116" s="2" t="s">
        <v>67</v>
      </c>
      <c r="Y116" s="2" t="s">
        <v>67</v>
      </c>
      <c r="Z116" s="2" t="s">
        <v>74</v>
      </c>
      <c r="AA116" s="2" t="s">
        <v>71</v>
      </c>
      <c r="AB116" s="2" t="s">
        <v>67</v>
      </c>
      <c r="AC116" s="2" t="s">
        <v>67</v>
      </c>
      <c r="AD116" s="2" t="s">
        <v>67</v>
      </c>
      <c r="AE116" s="2" t="s">
        <v>1010</v>
      </c>
      <c r="AF116" s="2" t="s">
        <v>1011</v>
      </c>
      <c r="AG116" s="2" t="s">
        <v>1012</v>
      </c>
      <c r="AH116" s="2" t="s">
        <v>67</v>
      </c>
      <c r="AI116" s="2" t="s">
        <v>67</v>
      </c>
      <c r="AJ116" s="2" t="s">
        <v>67</v>
      </c>
      <c r="AK116" s="2" t="s">
        <v>242</v>
      </c>
      <c r="AL116" s="2" t="s">
        <v>141</v>
      </c>
      <c r="AM116" s="2" t="s">
        <v>73</v>
      </c>
    </row>
    <row r="117" spans="1:39" ht="409.6" x14ac:dyDescent="0.2">
      <c r="A117" s="1">
        <v>45891.439120370371</v>
      </c>
      <c r="B117" s="1">
        <v>45891.443773148145</v>
      </c>
      <c r="C117" s="2" t="s">
        <v>42</v>
      </c>
      <c r="D117" s="2" t="s">
        <v>1022</v>
      </c>
      <c r="E117">
        <v>100</v>
      </c>
      <c r="F117">
        <v>401</v>
      </c>
      <c r="G117" s="2" t="s">
        <v>68</v>
      </c>
      <c r="H117" s="1">
        <v>45891.443787951386</v>
      </c>
      <c r="I117" s="2" t="s">
        <v>1023</v>
      </c>
      <c r="J117" s="2" t="s">
        <v>67</v>
      </c>
      <c r="K117" s="2" t="s">
        <v>67</v>
      </c>
      <c r="L117" s="2" t="s">
        <v>67</v>
      </c>
      <c r="M117" s="2" t="s">
        <v>67</v>
      </c>
      <c r="N117">
        <v>43.072499999999998</v>
      </c>
      <c r="O117">
        <v>-89.449100000000001</v>
      </c>
      <c r="P117" s="2" t="s">
        <v>78</v>
      </c>
      <c r="Q117" s="2" t="s">
        <v>69</v>
      </c>
      <c r="R117" s="2" t="s">
        <v>1024</v>
      </c>
      <c r="S117" s="2" t="s">
        <v>779</v>
      </c>
      <c r="T117" s="2" t="s">
        <v>1025</v>
      </c>
      <c r="U117" s="2" t="s">
        <v>1026</v>
      </c>
      <c r="V117" s="2" t="s">
        <v>316</v>
      </c>
      <c r="W117" s="2" t="s">
        <v>1027</v>
      </c>
      <c r="X117" s="2" t="s">
        <v>67</v>
      </c>
      <c r="Y117" s="2" t="s">
        <v>67</v>
      </c>
      <c r="Z117" s="2" t="s">
        <v>74</v>
      </c>
      <c r="AA117" s="2" t="s">
        <v>71</v>
      </c>
      <c r="AB117" s="2" t="s">
        <v>67</v>
      </c>
      <c r="AC117" s="2" t="s">
        <v>67</v>
      </c>
      <c r="AD117" s="2" t="s">
        <v>67</v>
      </c>
      <c r="AE117" s="2" t="s">
        <v>1028</v>
      </c>
      <c r="AF117" s="2" t="s">
        <v>1029</v>
      </c>
      <c r="AG117" s="2" t="s">
        <v>1030</v>
      </c>
      <c r="AH117" s="2" t="s">
        <v>67</v>
      </c>
      <c r="AI117" s="2" t="s">
        <v>67</v>
      </c>
      <c r="AJ117" s="2" t="s">
        <v>67</v>
      </c>
      <c r="AK117" s="2" t="s">
        <v>242</v>
      </c>
      <c r="AL117" s="2" t="s">
        <v>141</v>
      </c>
      <c r="AM117" s="2" t="s">
        <v>73</v>
      </c>
    </row>
    <row r="118" spans="1:39" ht="409.6" x14ac:dyDescent="0.2">
      <c r="A118" s="1">
        <v>45891.441192129627</v>
      </c>
      <c r="B118" s="1">
        <v>45891.444664351853</v>
      </c>
      <c r="C118" s="2" t="s">
        <v>42</v>
      </c>
      <c r="D118" s="2" t="s">
        <v>1031</v>
      </c>
      <c r="E118">
        <v>100</v>
      </c>
      <c r="F118">
        <v>299</v>
      </c>
      <c r="G118" s="2" t="s">
        <v>68</v>
      </c>
      <c r="H118" s="1">
        <v>45891.444670497687</v>
      </c>
      <c r="I118" s="2" t="s">
        <v>1032</v>
      </c>
      <c r="J118" s="2" t="s">
        <v>67</v>
      </c>
      <c r="K118" s="2" t="s">
        <v>67</v>
      </c>
      <c r="L118" s="2" t="s">
        <v>67</v>
      </c>
      <c r="M118" s="2" t="s">
        <v>67</v>
      </c>
      <c r="N118">
        <v>43.0334</v>
      </c>
      <c r="O118">
        <v>-89.4512</v>
      </c>
      <c r="P118" s="2" t="s">
        <v>78</v>
      </c>
      <c r="Q118" s="2" t="s">
        <v>69</v>
      </c>
      <c r="R118" s="2" t="s">
        <v>1033</v>
      </c>
      <c r="S118" s="2" t="s">
        <v>1034</v>
      </c>
      <c r="T118" s="2" t="s">
        <v>1035</v>
      </c>
      <c r="U118" s="2" t="s">
        <v>125</v>
      </c>
      <c r="V118" s="2" t="s">
        <v>308</v>
      </c>
      <c r="W118" s="2" t="s">
        <v>256</v>
      </c>
      <c r="X118" s="2" t="s">
        <v>67</v>
      </c>
      <c r="Y118" s="2" t="s">
        <v>67</v>
      </c>
      <c r="Z118" s="2" t="s">
        <v>74</v>
      </c>
      <c r="AA118" s="2" t="s">
        <v>74</v>
      </c>
      <c r="AB118" s="2" t="s">
        <v>67</v>
      </c>
      <c r="AC118" s="2" t="s">
        <v>67</v>
      </c>
      <c r="AD118" s="2" t="s">
        <v>67</v>
      </c>
      <c r="AE118" s="2" t="s">
        <v>1036</v>
      </c>
      <c r="AF118" s="2" t="s">
        <v>1037</v>
      </c>
      <c r="AG118" s="2" t="s">
        <v>1038</v>
      </c>
      <c r="AH118" s="2" t="s">
        <v>1039</v>
      </c>
      <c r="AI118" s="2" t="s">
        <v>1040</v>
      </c>
      <c r="AJ118" s="2" t="s">
        <v>67</v>
      </c>
      <c r="AK118" s="2" t="s">
        <v>242</v>
      </c>
      <c r="AL118" s="2" t="s">
        <v>141</v>
      </c>
      <c r="AM118" s="2" t="s">
        <v>73</v>
      </c>
    </row>
    <row r="119" spans="1:39" ht="409.6" x14ac:dyDescent="0.2">
      <c r="A119" s="1">
        <v>45891.466574074075</v>
      </c>
      <c r="B119" s="1">
        <v>45891.468587962961</v>
      </c>
      <c r="C119" s="2" t="s">
        <v>42</v>
      </c>
      <c r="D119" s="2" t="s">
        <v>1041</v>
      </c>
      <c r="E119">
        <v>100</v>
      </c>
      <c r="F119">
        <v>174</v>
      </c>
      <c r="G119" s="2" t="s">
        <v>68</v>
      </c>
      <c r="H119" s="1">
        <v>45891.468601851855</v>
      </c>
      <c r="I119" s="2" t="s">
        <v>1042</v>
      </c>
      <c r="J119" s="2" t="s">
        <v>67</v>
      </c>
      <c r="K119" s="2" t="s">
        <v>67</v>
      </c>
      <c r="L119" s="2" t="s">
        <v>67</v>
      </c>
      <c r="M119" s="2" t="s">
        <v>67</v>
      </c>
      <c r="N119">
        <v>43.072499999999998</v>
      </c>
      <c r="O119">
        <v>-89.449100000000001</v>
      </c>
      <c r="P119" s="2" t="s">
        <v>78</v>
      </c>
      <c r="Q119" s="2" t="s">
        <v>69</v>
      </c>
      <c r="R119" s="2" t="s">
        <v>1043</v>
      </c>
      <c r="S119" s="2" t="s">
        <v>1044</v>
      </c>
      <c r="T119" s="2" t="s">
        <v>1045</v>
      </c>
      <c r="U119" s="2" t="s">
        <v>1046</v>
      </c>
      <c r="V119" s="2" t="s">
        <v>1047</v>
      </c>
      <c r="W119" s="2" t="s">
        <v>1048</v>
      </c>
      <c r="X119" s="2" t="s">
        <v>67</v>
      </c>
      <c r="Y119" s="2" t="s">
        <v>67</v>
      </c>
      <c r="Z119" s="2" t="s">
        <v>74</v>
      </c>
      <c r="AA119" s="2" t="s">
        <v>71</v>
      </c>
      <c r="AB119" s="2" t="s">
        <v>67</v>
      </c>
      <c r="AC119" s="2" t="s">
        <v>67</v>
      </c>
      <c r="AD119" s="2" t="s">
        <v>67</v>
      </c>
      <c r="AE119" s="2" t="s">
        <v>1049</v>
      </c>
      <c r="AF119" s="2" t="s">
        <v>1050</v>
      </c>
      <c r="AG119" s="2" t="s">
        <v>1051</v>
      </c>
      <c r="AH119" s="2" t="s">
        <v>67</v>
      </c>
      <c r="AI119" s="2" t="s">
        <v>67</v>
      </c>
      <c r="AJ119" s="2" t="s">
        <v>67</v>
      </c>
      <c r="AK119" s="2" t="s">
        <v>242</v>
      </c>
      <c r="AL119" s="2" t="s">
        <v>141</v>
      </c>
      <c r="AM119" s="2" t="s">
        <v>73</v>
      </c>
    </row>
    <row r="120" spans="1:39" ht="409.6" x14ac:dyDescent="0.2">
      <c r="A120" s="1">
        <v>45888.572557870371</v>
      </c>
      <c r="B120" s="1">
        <v>45891.493750000001</v>
      </c>
      <c r="C120" s="2" t="s">
        <v>42</v>
      </c>
      <c r="D120" s="2" t="s">
        <v>1052</v>
      </c>
      <c r="E120">
        <v>100</v>
      </c>
      <c r="F120">
        <v>252391</v>
      </c>
      <c r="G120" s="2" t="s">
        <v>68</v>
      </c>
      <c r="H120" s="1">
        <v>45891.493761435187</v>
      </c>
      <c r="I120" s="2" t="s">
        <v>1053</v>
      </c>
      <c r="J120" s="2" t="s">
        <v>67</v>
      </c>
      <c r="K120" s="2" t="s">
        <v>67</v>
      </c>
      <c r="L120" s="2" t="s">
        <v>67</v>
      </c>
      <c r="M120" s="2" t="s">
        <v>67</v>
      </c>
      <c r="N120">
        <v>43.072499999999998</v>
      </c>
      <c r="O120">
        <v>-89.449100000000001</v>
      </c>
      <c r="P120" s="2" t="s">
        <v>78</v>
      </c>
      <c r="Q120" s="2" t="s">
        <v>69</v>
      </c>
      <c r="R120" s="2" t="s">
        <v>1054</v>
      </c>
      <c r="S120" s="2" t="s">
        <v>1055</v>
      </c>
      <c r="T120" s="2" t="s">
        <v>1056</v>
      </c>
      <c r="U120" s="2" t="s">
        <v>90</v>
      </c>
      <c r="V120" s="2" t="s">
        <v>126</v>
      </c>
      <c r="W120" s="2" t="s">
        <v>1057</v>
      </c>
      <c r="X120" s="2" t="s">
        <v>67</v>
      </c>
      <c r="Y120" s="2" t="s">
        <v>67</v>
      </c>
      <c r="Z120" s="2" t="s">
        <v>74</v>
      </c>
      <c r="AA120" s="2" t="s">
        <v>71</v>
      </c>
      <c r="AB120" s="2" t="s">
        <v>67</v>
      </c>
      <c r="AC120" s="2" t="s">
        <v>67</v>
      </c>
      <c r="AD120" s="2" t="s">
        <v>67</v>
      </c>
      <c r="AE120" s="2" t="s">
        <v>1058</v>
      </c>
      <c r="AF120" s="2" t="s">
        <v>1059</v>
      </c>
      <c r="AG120" s="2" t="s">
        <v>1060</v>
      </c>
      <c r="AH120" s="2" t="s">
        <v>67</v>
      </c>
      <c r="AI120" s="2" t="s">
        <v>67</v>
      </c>
      <c r="AJ120" s="2" t="s">
        <v>67</v>
      </c>
      <c r="AK120" s="2" t="s">
        <v>79</v>
      </c>
      <c r="AL120" s="2" t="s">
        <v>141</v>
      </c>
      <c r="AM120" s="2" t="s">
        <v>73</v>
      </c>
    </row>
    <row r="121" spans="1:39" ht="409.6" x14ac:dyDescent="0.2">
      <c r="A121" s="1">
        <v>45884.576273148145</v>
      </c>
      <c r="B121" s="1">
        <v>45891.530370370368</v>
      </c>
      <c r="C121" s="2" t="s">
        <v>42</v>
      </c>
      <c r="D121" s="2" t="s">
        <v>1061</v>
      </c>
      <c r="E121">
        <v>100</v>
      </c>
      <c r="F121">
        <v>600833</v>
      </c>
      <c r="G121" s="2" t="s">
        <v>68</v>
      </c>
      <c r="H121" s="1">
        <v>45891.530376620372</v>
      </c>
      <c r="I121" s="2" t="s">
        <v>1062</v>
      </c>
      <c r="J121" s="2" t="s">
        <v>67</v>
      </c>
      <c r="K121" s="2" t="s">
        <v>67</v>
      </c>
      <c r="L121" s="2" t="s">
        <v>67</v>
      </c>
      <c r="M121" s="2" t="s">
        <v>67</v>
      </c>
      <c r="N121">
        <v>43.072499999999998</v>
      </c>
      <c r="O121">
        <v>-89.449100000000001</v>
      </c>
      <c r="P121" s="2" t="s">
        <v>78</v>
      </c>
      <c r="Q121" s="2" t="s">
        <v>69</v>
      </c>
      <c r="R121" s="2" t="s">
        <v>1063</v>
      </c>
      <c r="S121" s="2" t="s">
        <v>1064</v>
      </c>
      <c r="T121" s="2" t="s">
        <v>1065</v>
      </c>
      <c r="U121" s="2" t="s">
        <v>90</v>
      </c>
      <c r="V121" s="2" t="s">
        <v>126</v>
      </c>
      <c r="W121" s="2" t="s">
        <v>256</v>
      </c>
      <c r="X121" s="2" t="s">
        <v>67</v>
      </c>
      <c r="Y121" s="2" t="s">
        <v>67</v>
      </c>
      <c r="Z121" s="2" t="s">
        <v>74</v>
      </c>
      <c r="AA121" s="2" t="s">
        <v>71</v>
      </c>
      <c r="AB121" s="2" t="s">
        <v>67</v>
      </c>
      <c r="AC121" s="2" t="s">
        <v>67</v>
      </c>
      <c r="AD121" s="2" t="s">
        <v>67</v>
      </c>
      <c r="AE121" s="2" t="s">
        <v>1066</v>
      </c>
      <c r="AF121" s="2" t="s">
        <v>1067</v>
      </c>
      <c r="AG121" s="2" t="s">
        <v>1068</v>
      </c>
      <c r="AH121" s="2" t="s">
        <v>67</v>
      </c>
      <c r="AI121" s="2" t="s">
        <v>67</v>
      </c>
      <c r="AJ121" s="2" t="s">
        <v>67</v>
      </c>
      <c r="AK121" s="2" t="s">
        <v>72</v>
      </c>
      <c r="AL121" s="2" t="s">
        <v>141</v>
      </c>
      <c r="AM121" s="2" t="s">
        <v>73</v>
      </c>
    </row>
    <row r="122" spans="1:39" ht="409.6" x14ac:dyDescent="0.2">
      <c r="A122" s="1">
        <v>45891.531736111108</v>
      </c>
      <c r="B122" s="1">
        <v>45891.534687500003</v>
      </c>
      <c r="C122" s="2" t="s">
        <v>42</v>
      </c>
      <c r="D122" s="2" t="s">
        <v>1061</v>
      </c>
      <c r="E122">
        <v>100</v>
      </c>
      <c r="F122">
        <v>255</v>
      </c>
      <c r="G122" s="2" t="s">
        <v>68</v>
      </c>
      <c r="H122" s="1">
        <v>45891.534703599536</v>
      </c>
      <c r="I122" s="2" t="s">
        <v>1069</v>
      </c>
      <c r="J122" s="2" t="s">
        <v>67</v>
      </c>
      <c r="K122" s="2" t="s">
        <v>67</v>
      </c>
      <c r="L122" s="2" t="s">
        <v>67</v>
      </c>
      <c r="M122" s="2" t="s">
        <v>67</v>
      </c>
      <c r="N122">
        <v>43.072499999999998</v>
      </c>
      <c r="O122">
        <v>-89.449100000000001</v>
      </c>
      <c r="P122" s="2" t="s">
        <v>78</v>
      </c>
      <c r="Q122" s="2" t="s">
        <v>69</v>
      </c>
      <c r="R122" s="2" t="s">
        <v>1063</v>
      </c>
      <c r="S122" s="2" t="s">
        <v>1064</v>
      </c>
      <c r="T122" s="2" t="s">
        <v>1065</v>
      </c>
      <c r="U122" s="2" t="s">
        <v>1070</v>
      </c>
      <c r="V122" s="2" t="s">
        <v>126</v>
      </c>
      <c r="W122" s="2" t="s">
        <v>256</v>
      </c>
      <c r="X122" s="2" t="s">
        <v>67</v>
      </c>
      <c r="Y122" s="2" t="s">
        <v>67</v>
      </c>
      <c r="Z122" s="2" t="s">
        <v>74</v>
      </c>
      <c r="AA122" s="2" t="s">
        <v>74</v>
      </c>
      <c r="AB122" s="2" t="s">
        <v>67</v>
      </c>
      <c r="AC122" s="2" t="s">
        <v>67</v>
      </c>
      <c r="AD122" s="2" t="s">
        <v>67</v>
      </c>
      <c r="AE122" s="2" t="s">
        <v>1066</v>
      </c>
      <c r="AF122" s="2" t="s">
        <v>1071</v>
      </c>
      <c r="AG122" s="2" t="s">
        <v>1068</v>
      </c>
      <c r="AH122" s="2" t="s">
        <v>1072</v>
      </c>
      <c r="AI122" s="2" t="s">
        <v>1073</v>
      </c>
      <c r="AJ122" s="2" t="s">
        <v>67</v>
      </c>
      <c r="AK122" s="2" t="s">
        <v>242</v>
      </c>
      <c r="AL122" s="2" t="s">
        <v>141</v>
      </c>
      <c r="AM122" s="2" t="s">
        <v>73</v>
      </c>
    </row>
    <row r="123" spans="1:39" ht="409.6" x14ac:dyDescent="0.2">
      <c r="A123" s="1">
        <v>45891.545567129629</v>
      </c>
      <c r="B123" s="1">
        <v>45891.547361111108</v>
      </c>
      <c r="C123" s="2" t="s">
        <v>42</v>
      </c>
      <c r="D123" s="2" t="s">
        <v>338</v>
      </c>
      <c r="E123">
        <v>100</v>
      </c>
      <c r="F123">
        <v>155</v>
      </c>
      <c r="G123" s="2" t="s">
        <v>68</v>
      </c>
      <c r="H123" s="1">
        <v>45891.54737659722</v>
      </c>
      <c r="I123" s="2" t="s">
        <v>1074</v>
      </c>
      <c r="J123" s="2" t="s">
        <v>67</v>
      </c>
      <c r="K123" s="2" t="s">
        <v>67</v>
      </c>
      <c r="L123" s="2" t="s">
        <v>67</v>
      </c>
      <c r="M123" s="2" t="s">
        <v>67</v>
      </c>
      <c r="N123">
        <v>43.072499999999998</v>
      </c>
      <c r="O123">
        <v>-89.449100000000001</v>
      </c>
      <c r="P123" s="2" t="s">
        <v>78</v>
      </c>
      <c r="Q123" s="2" t="s">
        <v>69</v>
      </c>
      <c r="R123" s="2" t="s">
        <v>1075</v>
      </c>
      <c r="S123" s="2" t="s">
        <v>1076</v>
      </c>
      <c r="T123" s="2" t="s">
        <v>1077</v>
      </c>
      <c r="U123" s="2" t="s">
        <v>67</v>
      </c>
      <c r="V123" s="2" t="s">
        <v>82</v>
      </c>
      <c r="W123" s="2" t="s">
        <v>1078</v>
      </c>
      <c r="X123" s="2" t="s">
        <v>67</v>
      </c>
      <c r="Y123" s="2" t="s">
        <v>67</v>
      </c>
      <c r="Z123" s="2" t="s">
        <v>74</v>
      </c>
      <c r="AA123" s="2" t="s">
        <v>71</v>
      </c>
      <c r="AB123" s="2" t="s">
        <v>67</v>
      </c>
      <c r="AC123" s="2" t="s">
        <v>67</v>
      </c>
      <c r="AD123" s="2" t="s">
        <v>67</v>
      </c>
      <c r="AE123" s="2" t="s">
        <v>1079</v>
      </c>
      <c r="AF123" s="2" t="s">
        <v>1080</v>
      </c>
      <c r="AG123" s="2" t="s">
        <v>1081</v>
      </c>
      <c r="AH123" s="2" t="s">
        <v>67</v>
      </c>
      <c r="AI123" s="2" t="s">
        <v>67</v>
      </c>
      <c r="AJ123" s="2" t="s">
        <v>67</v>
      </c>
      <c r="AK123" s="2" t="s">
        <v>242</v>
      </c>
      <c r="AL123" s="2" t="s">
        <v>141</v>
      </c>
      <c r="AM123" s="2" t="s">
        <v>73</v>
      </c>
    </row>
    <row r="124" spans="1:39" ht="409.6" x14ac:dyDescent="0.2">
      <c r="A124" s="1">
        <v>45891.506527777776</v>
      </c>
      <c r="B124" s="1">
        <v>45891.557627314818</v>
      </c>
      <c r="C124" s="2" t="s">
        <v>42</v>
      </c>
      <c r="D124" s="2" t="s">
        <v>1082</v>
      </c>
      <c r="E124">
        <v>100</v>
      </c>
      <c r="F124">
        <v>4415</v>
      </c>
      <c r="G124" s="2" t="s">
        <v>68</v>
      </c>
      <c r="H124" s="1">
        <v>45891.557637708334</v>
      </c>
      <c r="I124" s="2" t="s">
        <v>1083</v>
      </c>
      <c r="J124" s="2" t="s">
        <v>67</v>
      </c>
      <c r="K124" s="2" t="s">
        <v>67</v>
      </c>
      <c r="L124" s="2" t="s">
        <v>67</v>
      </c>
      <c r="M124" s="2" t="s">
        <v>67</v>
      </c>
      <c r="N124">
        <v>43.072499999999998</v>
      </c>
      <c r="O124">
        <v>-89.449100000000001</v>
      </c>
      <c r="P124" s="2" t="s">
        <v>78</v>
      </c>
      <c r="Q124" s="2" t="s">
        <v>69</v>
      </c>
      <c r="R124" s="2" t="s">
        <v>1084</v>
      </c>
      <c r="S124" s="2" t="s">
        <v>563</v>
      </c>
      <c r="T124" s="2" t="s">
        <v>1085</v>
      </c>
      <c r="U124" s="2" t="s">
        <v>67</v>
      </c>
      <c r="V124" s="2" t="s">
        <v>82</v>
      </c>
      <c r="W124" s="2" t="s">
        <v>944</v>
      </c>
      <c r="X124" s="2" t="s">
        <v>67</v>
      </c>
      <c r="Y124" s="2" t="s">
        <v>67</v>
      </c>
      <c r="Z124" s="2" t="s">
        <v>74</v>
      </c>
      <c r="AA124" s="2" t="s">
        <v>71</v>
      </c>
      <c r="AB124" s="2" t="s">
        <v>67</v>
      </c>
      <c r="AC124" s="2" t="s">
        <v>67</v>
      </c>
      <c r="AD124" s="2" t="s">
        <v>67</v>
      </c>
      <c r="AE124" s="2" t="s">
        <v>1086</v>
      </c>
      <c r="AF124" s="2" t="s">
        <v>1087</v>
      </c>
      <c r="AG124" s="2" t="s">
        <v>1088</v>
      </c>
      <c r="AH124" s="2" t="s">
        <v>67</v>
      </c>
      <c r="AI124" s="2" t="s">
        <v>67</v>
      </c>
      <c r="AJ124" s="2" t="s">
        <v>67</v>
      </c>
      <c r="AK124" s="2" t="s">
        <v>242</v>
      </c>
      <c r="AL124" s="2" t="s">
        <v>141</v>
      </c>
      <c r="AM124" s="2" t="s">
        <v>73</v>
      </c>
    </row>
    <row r="125" spans="1:39" ht="409.6" x14ac:dyDescent="0.2">
      <c r="A125" s="1">
        <v>45890.412222222221</v>
      </c>
      <c r="B125" s="1">
        <v>45891.577303240738</v>
      </c>
      <c r="C125" s="2" t="s">
        <v>42</v>
      </c>
      <c r="D125" s="2" t="s">
        <v>1089</v>
      </c>
      <c r="E125">
        <v>100</v>
      </c>
      <c r="F125">
        <v>100663</v>
      </c>
      <c r="G125" s="2" t="s">
        <v>68</v>
      </c>
      <c r="H125" s="1">
        <v>45891.577322384263</v>
      </c>
      <c r="I125" s="2" t="s">
        <v>1090</v>
      </c>
      <c r="J125" s="2" t="s">
        <v>67</v>
      </c>
      <c r="K125" s="2" t="s">
        <v>67</v>
      </c>
      <c r="L125" s="2" t="s">
        <v>67</v>
      </c>
      <c r="M125" s="2" t="s">
        <v>67</v>
      </c>
      <c r="N125">
        <v>43.0334</v>
      </c>
      <c r="O125">
        <v>-89.4512</v>
      </c>
      <c r="P125" s="2" t="s">
        <v>78</v>
      </c>
      <c r="Q125" s="2" t="s">
        <v>69</v>
      </c>
      <c r="R125" s="2" t="s">
        <v>1091</v>
      </c>
      <c r="S125" s="2" t="s">
        <v>1092</v>
      </c>
      <c r="T125" s="2" t="s">
        <v>1093</v>
      </c>
      <c r="U125" s="2" t="s">
        <v>67</v>
      </c>
      <c r="V125" s="2" t="s">
        <v>82</v>
      </c>
      <c r="W125" s="2" t="s">
        <v>1094</v>
      </c>
      <c r="X125" s="2" t="s">
        <v>67</v>
      </c>
      <c r="Y125" s="2" t="s">
        <v>67</v>
      </c>
      <c r="Z125" s="2" t="s">
        <v>74</v>
      </c>
      <c r="AA125" s="2" t="s">
        <v>71</v>
      </c>
      <c r="AB125" s="2" t="s">
        <v>67</v>
      </c>
      <c r="AC125" s="2" t="s">
        <v>67</v>
      </c>
      <c r="AD125" s="2" t="s">
        <v>67</v>
      </c>
      <c r="AE125" s="2" t="s">
        <v>1095</v>
      </c>
      <c r="AF125" s="2" t="s">
        <v>1096</v>
      </c>
      <c r="AG125" s="2" t="s">
        <v>1097</v>
      </c>
      <c r="AH125" s="2" t="s">
        <v>67</v>
      </c>
      <c r="AI125" s="2" t="s">
        <v>67</v>
      </c>
      <c r="AJ125" s="2" t="s">
        <v>67</v>
      </c>
      <c r="AK125" s="2" t="s">
        <v>242</v>
      </c>
      <c r="AL125" s="2" t="s">
        <v>141</v>
      </c>
      <c r="AM125" s="2" t="s">
        <v>73</v>
      </c>
    </row>
    <row r="126" spans="1:39" ht="409.6" x14ac:dyDescent="0.2">
      <c r="A126" s="1">
        <v>45891.581319444442</v>
      </c>
      <c r="B126" s="1">
        <v>45891.584837962961</v>
      </c>
      <c r="C126" s="2" t="s">
        <v>42</v>
      </c>
      <c r="D126" s="2" t="s">
        <v>1098</v>
      </c>
      <c r="E126">
        <v>100</v>
      </c>
      <c r="F126">
        <v>304</v>
      </c>
      <c r="G126" s="2" t="s">
        <v>68</v>
      </c>
      <c r="H126" s="1">
        <v>45891.584847905091</v>
      </c>
      <c r="I126" s="2" t="s">
        <v>1099</v>
      </c>
      <c r="J126" s="2" t="s">
        <v>67</v>
      </c>
      <c r="K126" s="2" t="s">
        <v>67</v>
      </c>
      <c r="L126" s="2" t="s">
        <v>67</v>
      </c>
      <c r="M126" s="2" t="s">
        <v>67</v>
      </c>
      <c r="N126">
        <v>43.072499999999998</v>
      </c>
      <c r="O126">
        <v>-89.449100000000001</v>
      </c>
      <c r="P126" s="2" t="s">
        <v>78</v>
      </c>
      <c r="Q126" s="2" t="s">
        <v>69</v>
      </c>
      <c r="R126" s="2" t="s">
        <v>1100</v>
      </c>
      <c r="S126" s="2" t="s">
        <v>1101</v>
      </c>
      <c r="T126" s="2" t="s">
        <v>1102</v>
      </c>
      <c r="U126" s="2" t="s">
        <v>90</v>
      </c>
      <c r="V126" s="2" t="s">
        <v>316</v>
      </c>
      <c r="W126" s="2" t="s">
        <v>405</v>
      </c>
      <c r="X126" s="2" t="s">
        <v>67</v>
      </c>
      <c r="Y126" s="2" t="s">
        <v>67</v>
      </c>
      <c r="Z126" s="2" t="s">
        <v>74</v>
      </c>
      <c r="AA126" s="2" t="s">
        <v>74</v>
      </c>
      <c r="AB126" s="2" t="s">
        <v>67</v>
      </c>
      <c r="AC126" s="2" t="s">
        <v>67</v>
      </c>
      <c r="AD126" s="2" t="s">
        <v>67</v>
      </c>
      <c r="AE126" s="2" t="s">
        <v>1103</v>
      </c>
      <c r="AF126" s="2" t="s">
        <v>1104</v>
      </c>
      <c r="AG126" s="2" t="s">
        <v>1105</v>
      </c>
      <c r="AH126" s="2" t="s">
        <v>1106</v>
      </c>
      <c r="AI126" s="2" t="s">
        <v>1107</v>
      </c>
      <c r="AJ126" s="2" t="s">
        <v>67</v>
      </c>
      <c r="AK126" s="2" t="s">
        <v>242</v>
      </c>
      <c r="AL126" s="2" t="s">
        <v>141</v>
      </c>
      <c r="AM126" s="2" t="s">
        <v>73</v>
      </c>
    </row>
    <row r="127" spans="1:39" ht="409.6" x14ac:dyDescent="0.2">
      <c r="A127" s="1">
        <v>45891.66443287037</v>
      </c>
      <c r="B127" s="1">
        <v>45891.666770833333</v>
      </c>
      <c r="C127" s="2" t="s">
        <v>42</v>
      </c>
      <c r="D127" s="2" t="s">
        <v>1108</v>
      </c>
      <c r="E127">
        <v>100</v>
      </c>
      <c r="F127">
        <v>201</v>
      </c>
      <c r="G127" s="2" t="s">
        <v>68</v>
      </c>
      <c r="H127" s="1">
        <v>45891.666783564811</v>
      </c>
      <c r="I127" s="2" t="s">
        <v>1109</v>
      </c>
      <c r="J127" s="2" t="s">
        <v>67</v>
      </c>
      <c r="K127" s="2" t="s">
        <v>67</v>
      </c>
      <c r="L127" s="2" t="s">
        <v>67</v>
      </c>
      <c r="M127" s="2" t="s">
        <v>67</v>
      </c>
      <c r="N127">
        <v>43.072499999999998</v>
      </c>
      <c r="O127">
        <v>-89.449100000000001</v>
      </c>
      <c r="P127" s="2" t="s">
        <v>78</v>
      </c>
      <c r="Q127" s="2" t="s">
        <v>69</v>
      </c>
      <c r="R127" s="2" t="s">
        <v>902</v>
      </c>
      <c r="S127" s="2" t="s">
        <v>1110</v>
      </c>
      <c r="T127" s="2" t="s">
        <v>1111</v>
      </c>
      <c r="U127" s="2" t="s">
        <v>1112</v>
      </c>
      <c r="V127" s="2" t="s">
        <v>879</v>
      </c>
      <c r="W127" s="2" t="s">
        <v>1113</v>
      </c>
      <c r="X127" s="2" t="s">
        <v>67</v>
      </c>
      <c r="Y127" s="2" t="s">
        <v>67</v>
      </c>
      <c r="Z127" s="2" t="s">
        <v>74</v>
      </c>
      <c r="AA127" s="2" t="s">
        <v>71</v>
      </c>
      <c r="AB127" s="2" t="s">
        <v>67</v>
      </c>
      <c r="AC127" s="2" t="s">
        <v>67</v>
      </c>
      <c r="AD127" s="2" t="s">
        <v>67</v>
      </c>
      <c r="AE127" s="2" t="s">
        <v>1114</v>
      </c>
      <c r="AF127" s="2" t="s">
        <v>1115</v>
      </c>
      <c r="AG127" s="2" t="s">
        <v>1116</v>
      </c>
      <c r="AH127" s="2" t="s">
        <v>67</v>
      </c>
      <c r="AI127" s="2" t="s">
        <v>67</v>
      </c>
      <c r="AJ127" s="2" t="s">
        <v>67</v>
      </c>
      <c r="AK127" s="2" t="s">
        <v>242</v>
      </c>
      <c r="AL127" s="2" t="s">
        <v>141</v>
      </c>
      <c r="AM127" s="2" t="s">
        <v>73</v>
      </c>
    </row>
    <row r="128" spans="1:39" ht="409.6" x14ac:dyDescent="0.2">
      <c r="A128" s="1">
        <v>45891.672800925924</v>
      </c>
      <c r="B128" s="1">
        <v>45891.674074074072</v>
      </c>
      <c r="C128" s="2" t="s">
        <v>42</v>
      </c>
      <c r="D128" s="2" t="s">
        <v>1117</v>
      </c>
      <c r="E128">
        <v>100</v>
      </c>
      <c r="F128">
        <v>110</v>
      </c>
      <c r="G128" s="2" t="s">
        <v>68</v>
      </c>
      <c r="H128" s="1">
        <v>45891.67408665509</v>
      </c>
      <c r="I128" s="2" t="s">
        <v>1118</v>
      </c>
      <c r="J128" s="2" t="s">
        <v>67</v>
      </c>
      <c r="K128" s="2" t="s">
        <v>67</v>
      </c>
      <c r="L128" s="2" t="s">
        <v>67</v>
      </c>
      <c r="M128" s="2" t="s">
        <v>67</v>
      </c>
      <c r="N128">
        <v>43.072499999999998</v>
      </c>
      <c r="O128">
        <v>-89.449100000000001</v>
      </c>
      <c r="P128" s="2" t="s">
        <v>78</v>
      </c>
      <c r="Q128" s="2" t="s">
        <v>69</v>
      </c>
      <c r="R128" s="2" t="s">
        <v>1119</v>
      </c>
      <c r="S128" s="2" t="s">
        <v>1120</v>
      </c>
      <c r="T128" s="2" t="s">
        <v>1121</v>
      </c>
      <c r="U128" s="2" t="s">
        <v>67</v>
      </c>
      <c r="V128" s="2" t="s">
        <v>1122</v>
      </c>
      <c r="W128" s="2" t="s">
        <v>1123</v>
      </c>
      <c r="X128" s="2" t="s">
        <v>67</v>
      </c>
      <c r="Y128" s="2" t="s">
        <v>67</v>
      </c>
      <c r="Z128" s="2" t="s">
        <v>74</v>
      </c>
      <c r="AA128" s="2" t="s">
        <v>71</v>
      </c>
      <c r="AB128" s="2" t="s">
        <v>67</v>
      </c>
      <c r="AC128" s="2" t="s">
        <v>67</v>
      </c>
      <c r="AD128" s="2" t="s">
        <v>67</v>
      </c>
      <c r="AE128" s="2" t="s">
        <v>1124</v>
      </c>
      <c r="AF128" s="2" t="s">
        <v>1125</v>
      </c>
      <c r="AG128" s="2" t="s">
        <v>1126</v>
      </c>
      <c r="AH128" s="2" t="s">
        <v>67</v>
      </c>
      <c r="AI128" s="2" t="s">
        <v>67</v>
      </c>
      <c r="AJ128" s="2" t="s">
        <v>67</v>
      </c>
      <c r="AK128" s="2" t="s">
        <v>242</v>
      </c>
      <c r="AL128" s="2" t="s">
        <v>141</v>
      </c>
      <c r="AM128" s="2" t="s">
        <v>73</v>
      </c>
    </row>
    <row r="129" spans="1:39" ht="409.6" x14ac:dyDescent="0.2">
      <c r="A129" s="1">
        <v>45891.784432870372</v>
      </c>
      <c r="B129" s="1">
        <v>45891.790127314816</v>
      </c>
      <c r="C129" s="2" t="s">
        <v>42</v>
      </c>
      <c r="D129" s="2" t="s">
        <v>1127</v>
      </c>
      <c r="E129">
        <v>100</v>
      </c>
      <c r="F129">
        <v>491</v>
      </c>
      <c r="G129" s="2" t="s">
        <v>68</v>
      </c>
      <c r="H129" s="1">
        <v>45891.790141817131</v>
      </c>
      <c r="I129" s="2" t="s">
        <v>1128</v>
      </c>
      <c r="J129" s="2" t="s">
        <v>67</v>
      </c>
      <c r="K129" s="2" t="s">
        <v>67</v>
      </c>
      <c r="L129" s="2" t="s">
        <v>67</v>
      </c>
      <c r="M129" s="2" t="s">
        <v>67</v>
      </c>
      <c r="N129">
        <v>43.081200000000003</v>
      </c>
      <c r="O129">
        <v>-89.383799999999994</v>
      </c>
      <c r="P129" s="2" t="s">
        <v>78</v>
      </c>
      <c r="Q129" s="2" t="s">
        <v>69</v>
      </c>
      <c r="R129" s="2" t="s">
        <v>683</v>
      </c>
      <c r="S129" s="2" t="s">
        <v>684</v>
      </c>
      <c r="T129" s="2" t="s">
        <v>685</v>
      </c>
      <c r="U129" s="2" t="s">
        <v>218</v>
      </c>
      <c r="V129" s="2" t="s">
        <v>686</v>
      </c>
      <c r="W129" s="2" t="s">
        <v>149</v>
      </c>
      <c r="X129" s="2" t="s">
        <v>67</v>
      </c>
      <c r="Y129" s="2" t="s">
        <v>67</v>
      </c>
      <c r="Z129" s="2" t="s">
        <v>74</v>
      </c>
      <c r="AA129" s="2" t="s">
        <v>71</v>
      </c>
      <c r="AB129" s="2" t="s">
        <v>67</v>
      </c>
      <c r="AC129" s="2" t="s">
        <v>67</v>
      </c>
      <c r="AD129" s="2" t="s">
        <v>67</v>
      </c>
      <c r="AE129" s="2" t="s">
        <v>1129</v>
      </c>
      <c r="AF129" s="2" t="s">
        <v>1130</v>
      </c>
      <c r="AG129" s="2" t="s">
        <v>1131</v>
      </c>
      <c r="AH129" s="2" t="s">
        <v>67</v>
      </c>
      <c r="AI129" s="2" t="s">
        <v>67</v>
      </c>
      <c r="AJ129" s="2" t="s">
        <v>67</v>
      </c>
      <c r="AK129" s="2" t="s">
        <v>242</v>
      </c>
      <c r="AL129" s="2" t="s">
        <v>141</v>
      </c>
      <c r="AM129" s="2" t="s">
        <v>73</v>
      </c>
    </row>
    <row r="130" spans="1:39" ht="48" x14ac:dyDescent="0.2">
      <c r="A130" s="1">
        <v>45884.818935185183</v>
      </c>
      <c r="B130" s="1">
        <v>45884.82304398148</v>
      </c>
      <c r="C130" s="2" t="s">
        <v>42</v>
      </c>
      <c r="D130" s="2" t="s">
        <v>631</v>
      </c>
      <c r="E130">
        <v>71</v>
      </c>
      <c r="F130">
        <v>354</v>
      </c>
      <c r="G130" s="2" t="s">
        <v>80</v>
      </c>
      <c r="H130" s="1">
        <v>45891.823058287038</v>
      </c>
      <c r="I130" s="2" t="s">
        <v>1132</v>
      </c>
      <c r="J130" s="2" t="s">
        <v>67</v>
      </c>
      <c r="K130" s="2" t="s">
        <v>67</v>
      </c>
      <c r="L130" s="2" t="s">
        <v>67</v>
      </c>
      <c r="M130" s="2" t="s">
        <v>67</v>
      </c>
      <c r="N130">
        <v>43.0334</v>
      </c>
      <c r="O130">
        <v>-89.4512</v>
      </c>
      <c r="P130" s="2" t="s">
        <v>78</v>
      </c>
      <c r="Q130" s="2" t="s">
        <v>69</v>
      </c>
      <c r="R130" s="2" t="s">
        <v>633</v>
      </c>
      <c r="S130" s="2" t="s">
        <v>633</v>
      </c>
      <c r="T130" s="2" t="s">
        <v>1133</v>
      </c>
      <c r="U130" s="2" t="s">
        <v>67</v>
      </c>
      <c r="V130" s="2" t="s">
        <v>633</v>
      </c>
      <c r="W130" s="2" t="s">
        <v>633</v>
      </c>
      <c r="X130" s="2" t="s">
        <v>67</v>
      </c>
      <c r="Y130" s="2" t="s">
        <v>67</v>
      </c>
      <c r="Z130" s="2" t="s">
        <v>74</v>
      </c>
      <c r="AA130" s="2" t="s">
        <v>71</v>
      </c>
      <c r="AB130" s="2" t="s">
        <v>67</v>
      </c>
      <c r="AC130" s="2" t="s">
        <v>67</v>
      </c>
      <c r="AD130" s="2" t="s">
        <v>67</v>
      </c>
      <c r="AE130" s="2" t="s">
        <v>67</v>
      </c>
      <c r="AF130" s="2" t="s">
        <v>67</v>
      </c>
      <c r="AG130" s="2" t="s">
        <v>67</v>
      </c>
      <c r="AH130" s="2" t="s">
        <v>67</v>
      </c>
      <c r="AI130" s="2" t="s">
        <v>67</v>
      </c>
      <c r="AJ130" s="2" t="s">
        <v>67</v>
      </c>
      <c r="AK130" s="2" t="s">
        <v>72</v>
      </c>
      <c r="AL130" s="2" t="s">
        <v>141</v>
      </c>
      <c r="AM130" s="2" t="s">
        <v>73</v>
      </c>
    </row>
    <row r="131" spans="1:39" ht="409.6" x14ac:dyDescent="0.2">
      <c r="A131" s="1">
        <v>45891.495462962965</v>
      </c>
      <c r="B131" s="1">
        <v>45891.848819444444</v>
      </c>
      <c r="C131" s="2" t="s">
        <v>42</v>
      </c>
      <c r="D131" s="2" t="s">
        <v>1134</v>
      </c>
      <c r="E131">
        <v>100</v>
      </c>
      <c r="F131">
        <v>30530</v>
      </c>
      <c r="G131" s="2" t="s">
        <v>68</v>
      </c>
      <c r="H131" s="1">
        <v>45891.848829884257</v>
      </c>
      <c r="I131" s="2" t="s">
        <v>1135</v>
      </c>
      <c r="J131" s="2" t="s">
        <v>67</v>
      </c>
      <c r="K131" s="2" t="s">
        <v>67</v>
      </c>
      <c r="L131" s="2" t="s">
        <v>67</v>
      </c>
      <c r="M131" s="2" t="s">
        <v>67</v>
      </c>
      <c r="N131">
        <v>43.072499999999998</v>
      </c>
      <c r="O131">
        <v>-89.449100000000001</v>
      </c>
      <c r="P131" s="2" t="s">
        <v>78</v>
      </c>
      <c r="Q131" s="2" t="s">
        <v>69</v>
      </c>
      <c r="R131" s="2" t="s">
        <v>1136</v>
      </c>
      <c r="S131" s="2" t="s">
        <v>1137</v>
      </c>
      <c r="T131" s="2" t="s">
        <v>1138</v>
      </c>
      <c r="U131" s="2" t="s">
        <v>67</v>
      </c>
      <c r="V131" s="2" t="s">
        <v>237</v>
      </c>
      <c r="W131" s="2" t="s">
        <v>1139</v>
      </c>
      <c r="X131" s="2" t="s">
        <v>67</v>
      </c>
      <c r="Y131" s="2" t="s">
        <v>67</v>
      </c>
      <c r="Z131" s="2" t="s">
        <v>74</v>
      </c>
      <c r="AA131" s="2" t="s">
        <v>71</v>
      </c>
      <c r="AB131" s="2" t="s">
        <v>67</v>
      </c>
      <c r="AC131" s="2" t="s">
        <v>67</v>
      </c>
      <c r="AD131" s="2" t="s">
        <v>67</v>
      </c>
      <c r="AE131" s="2" t="s">
        <v>1140</v>
      </c>
      <c r="AF131" s="2" t="s">
        <v>1141</v>
      </c>
      <c r="AG131" s="2" t="s">
        <v>1142</v>
      </c>
      <c r="AH131" s="2" t="s">
        <v>67</v>
      </c>
      <c r="AI131" s="2" t="s">
        <v>67</v>
      </c>
      <c r="AJ131" s="2" t="s">
        <v>67</v>
      </c>
      <c r="AK131" s="2" t="s">
        <v>242</v>
      </c>
      <c r="AL131" s="2" t="s">
        <v>141</v>
      </c>
      <c r="AM131" s="2" t="s">
        <v>73</v>
      </c>
    </row>
    <row r="132" spans="1:39" ht="409.6" x14ac:dyDescent="0.2">
      <c r="A132" s="1">
        <v>45891.943067129629</v>
      </c>
      <c r="B132" s="1">
        <v>45891.944652777776</v>
      </c>
      <c r="C132" s="2" t="s">
        <v>42</v>
      </c>
      <c r="D132" s="2" t="s">
        <v>1143</v>
      </c>
      <c r="E132">
        <v>100</v>
      </c>
      <c r="F132">
        <v>136</v>
      </c>
      <c r="G132" s="2" t="s">
        <v>68</v>
      </c>
      <c r="H132" s="1">
        <v>45891.944661666668</v>
      </c>
      <c r="I132" s="2" t="s">
        <v>1144</v>
      </c>
      <c r="J132" s="2" t="s">
        <v>67</v>
      </c>
      <c r="K132" s="2" t="s">
        <v>67</v>
      </c>
      <c r="L132" s="2" t="s">
        <v>67</v>
      </c>
      <c r="M132" s="2" t="s">
        <v>67</v>
      </c>
      <c r="N132">
        <v>43.037100000000002</v>
      </c>
      <c r="O132">
        <v>-89.393199999999993</v>
      </c>
      <c r="P132" s="2" t="s">
        <v>78</v>
      </c>
      <c r="Q132" s="2" t="s">
        <v>69</v>
      </c>
      <c r="R132" s="2" t="s">
        <v>1145</v>
      </c>
      <c r="S132" s="2" t="s">
        <v>1146</v>
      </c>
      <c r="T132" s="2" t="s">
        <v>1147</v>
      </c>
      <c r="U132" s="2" t="s">
        <v>67</v>
      </c>
      <c r="V132" s="2" t="s">
        <v>82</v>
      </c>
      <c r="W132" s="2" t="s">
        <v>1148</v>
      </c>
      <c r="X132" s="2" t="s">
        <v>67</v>
      </c>
      <c r="Y132" s="2" t="s">
        <v>67</v>
      </c>
      <c r="Z132" s="2" t="s">
        <v>74</v>
      </c>
      <c r="AA132" s="2" t="s">
        <v>71</v>
      </c>
      <c r="AB132" s="2" t="s">
        <v>67</v>
      </c>
      <c r="AC132" s="2" t="s">
        <v>67</v>
      </c>
      <c r="AD132" s="2" t="s">
        <v>67</v>
      </c>
      <c r="AE132" s="2" t="s">
        <v>1149</v>
      </c>
      <c r="AF132" s="2" t="s">
        <v>1150</v>
      </c>
      <c r="AG132" s="2" t="s">
        <v>1151</v>
      </c>
      <c r="AH132" s="2" t="s">
        <v>67</v>
      </c>
      <c r="AI132" s="2" t="s">
        <v>67</v>
      </c>
      <c r="AJ132" s="2" t="s">
        <v>67</v>
      </c>
      <c r="AK132" s="2" t="s">
        <v>242</v>
      </c>
      <c r="AL132" s="2" t="s">
        <v>141</v>
      </c>
      <c r="AM132" s="2" t="s">
        <v>73</v>
      </c>
    </row>
    <row r="133" spans="1:39" ht="409.6" x14ac:dyDescent="0.2">
      <c r="A133" s="1">
        <v>45891.946122685185</v>
      </c>
      <c r="B133" s="1">
        <v>45891.947418981479</v>
      </c>
      <c r="C133" s="2" t="s">
        <v>42</v>
      </c>
      <c r="D133" s="2" t="s">
        <v>1152</v>
      </c>
      <c r="E133">
        <v>100</v>
      </c>
      <c r="F133">
        <v>112</v>
      </c>
      <c r="G133" s="2" t="s">
        <v>68</v>
      </c>
      <c r="H133" s="1">
        <v>45891.9474328125</v>
      </c>
      <c r="I133" s="2" t="s">
        <v>1153</v>
      </c>
      <c r="J133" s="2" t="s">
        <v>67</v>
      </c>
      <c r="K133" s="2" t="s">
        <v>67</v>
      </c>
      <c r="L133" s="2" t="s">
        <v>67</v>
      </c>
      <c r="M133" s="2" t="s">
        <v>67</v>
      </c>
      <c r="N133">
        <v>43.103000000000002</v>
      </c>
      <c r="O133">
        <v>-89.507300000000001</v>
      </c>
      <c r="P133" s="2" t="s">
        <v>78</v>
      </c>
      <c r="Q133" s="2" t="s">
        <v>69</v>
      </c>
      <c r="R133" s="2" t="s">
        <v>1154</v>
      </c>
      <c r="S133" s="2" t="s">
        <v>1155</v>
      </c>
      <c r="T133" s="2" t="s">
        <v>1156</v>
      </c>
      <c r="U133" s="2" t="s">
        <v>67</v>
      </c>
      <c r="V133" s="2" t="s">
        <v>1157</v>
      </c>
      <c r="W133" s="2" t="s">
        <v>1158</v>
      </c>
      <c r="X133" s="2" t="s">
        <v>67</v>
      </c>
      <c r="Y133" s="2" t="s">
        <v>67</v>
      </c>
      <c r="Z133" s="2" t="s">
        <v>74</v>
      </c>
      <c r="AA133" s="2" t="s">
        <v>71</v>
      </c>
      <c r="AB133" s="2" t="s">
        <v>67</v>
      </c>
      <c r="AC133" s="2" t="s">
        <v>67</v>
      </c>
      <c r="AD133" s="2" t="s">
        <v>67</v>
      </c>
      <c r="AE133" s="2" t="s">
        <v>1159</v>
      </c>
      <c r="AF133" s="2" t="s">
        <v>1160</v>
      </c>
      <c r="AG133" s="2" t="s">
        <v>1161</v>
      </c>
      <c r="AH133" s="2" t="s">
        <v>67</v>
      </c>
      <c r="AI133" s="2" t="s">
        <v>67</v>
      </c>
      <c r="AJ133" s="2" t="s">
        <v>67</v>
      </c>
      <c r="AK133" s="2" t="s">
        <v>242</v>
      </c>
      <c r="AL133" s="2" t="s">
        <v>141</v>
      </c>
      <c r="AM133" s="2" t="s">
        <v>73</v>
      </c>
    </row>
    <row r="134" spans="1:39" ht="409.6" x14ac:dyDescent="0.2">
      <c r="A134" s="1">
        <v>45891.948321759257</v>
      </c>
      <c r="B134" s="1">
        <v>45891.950439814813</v>
      </c>
      <c r="C134" s="2" t="s">
        <v>42</v>
      </c>
      <c r="D134" s="2" t="s">
        <v>1152</v>
      </c>
      <c r="E134">
        <v>100</v>
      </c>
      <c r="F134">
        <v>183</v>
      </c>
      <c r="G134" s="2" t="s">
        <v>68</v>
      </c>
      <c r="H134" s="1">
        <v>45891.950451655095</v>
      </c>
      <c r="I134" s="2" t="s">
        <v>1162</v>
      </c>
      <c r="J134" s="2" t="s">
        <v>67</v>
      </c>
      <c r="K134" s="2" t="s">
        <v>67</v>
      </c>
      <c r="L134" s="2" t="s">
        <v>67</v>
      </c>
      <c r="M134" s="2" t="s">
        <v>67</v>
      </c>
      <c r="N134">
        <v>43.103000000000002</v>
      </c>
      <c r="O134">
        <v>-89.507300000000001</v>
      </c>
      <c r="P134" s="2" t="s">
        <v>78</v>
      </c>
      <c r="Q134" s="2" t="s">
        <v>69</v>
      </c>
      <c r="R134" s="2" t="s">
        <v>1154</v>
      </c>
      <c r="S134" s="2" t="s">
        <v>1155</v>
      </c>
      <c r="T134" s="2" t="s">
        <v>1156</v>
      </c>
      <c r="U134" s="2" t="s">
        <v>67</v>
      </c>
      <c r="V134" s="2" t="s">
        <v>1157</v>
      </c>
      <c r="W134" s="2" t="s">
        <v>1158</v>
      </c>
      <c r="X134" s="2" t="s">
        <v>67</v>
      </c>
      <c r="Y134" s="2" t="s">
        <v>67</v>
      </c>
      <c r="Z134" s="2" t="s">
        <v>74</v>
      </c>
      <c r="AA134" s="2" t="s">
        <v>71</v>
      </c>
      <c r="AB134" s="2" t="s">
        <v>67</v>
      </c>
      <c r="AC134" s="2" t="s">
        <v>67</v>
      </c>
      <c r="AD134" s="2" t="s">
        <v>67</v>
      </c>
      <c r="AE134" s="2" t="s">
        <v>1163</v>
      </c>
      <c r="AF134" s="2" t="s">
        <v>1164</v>
      </c>
      <c r="AG134" s="2" t="s">
        <v>1165</v>
      </c>
      <c r="AH134" s="2" t="s">
        <v>67</v>
      </c>
      <c r="AI134" s="2" t="s">
        <v>67</v>
      </c>
      <c r="AJ134" s="2" t="s">
        <v>67</v>
      </c>
      <c r="AK134" s="2" t="s">
        <v>242</v>
      </c>
      <c r="AL134" s="2" t="s">
        <v>141</v>
      </c>
      <c r="AM134" s="2" t="s">
        <v>73</v>
      </c>
    </row>
    <row r="135" spans="1:39" ht="64" x14ac:dyDescent="0.2">
      <c r="A135" s="1">
        <v>45892.468993055554</v>
      </c>
      <c r="B135" s="1">
        <v>45892.470532407409</v>
      </c>
      <c r="C135" s="2" t="s">
        <v>42</v>
      </c>
      <c r="D135" s="2" t="s">
        <v>591</v>
      </c>
      <c r="E135">
        <v>100</v>
      </c>
      <c r="F135">
        <v>132</v>
      </c>
      <c r="G135" s="2" t="s">
        <v>68</v>
      </c>
      <c r="H135" s="1">
        <v>45892.470602731482</v>
      </c>
      <c r="I135" s="2" t="s">
        <v>1166</v>
      </c>
      <c r="J135" s="2" t="s">
        <v>67</v>
      </c>
      <c r="K135" s="2" t="s">
        <v>67</v>
      </c>
      <c r="L135" s="2" t="s">
        <v>67</v>
      </c>
      <c r="M135" s="2" t="s">
        <v>67</v>
      </c>
      <c r="N135">
        <v>43.072499999999998</v>
      </c>
      <c r="O135">
        <v>-89.449100000000001</v>
      </c>
      <c r="P135" s="2" t="s">
        <v>78</v>
      </c>
      <c r="Q135" s="2" t="s">
        <v>69</v>
      </c>
      <c r="R135" s="2" t="s">
        <v>593</v>
      </c>
      <c r="S135" s="2" t="s">
        <v>594</v>
      </c>
      <c r="T135" s="2" t="s">
        <v>595</v>
      </c>
      <c r="U135" s="2" t="s">
        <v>218</v>
      </c>
      <c r="V135" s="2" t="s">
        <v>1167</v>
      </c>
      <c r="W135" s="2" t="s">
        <v>598</v>
      </c>
      <c r="X135" s="2" t="s">
        <v>67</v>
      </c>
      <c r="Y135" s="2" t="s">
        <v>67</v>
      </c>
      <c r="Z135" s="2" t="s">
        <v>67</v>
      </c>
      <c r="AA135" s="2" t="s">
        <v>67</v>
      </c>
      <c r="AB135" s="2" t="s">
        <v>67</v>
      </c>
      <c r="AC135" s="2" t="s">
        <v>67</v>
      </c>
      <c r="AD135" s="2" t="s">
        <v>67</v>
      </c>
      <c r="AE135" s="2" t="s">
        <v>67</v>
      </c>
      <c r="AF135" s="2" t="s">
        <v>67</v>
      </c>
      <c r="AG135" s="2" t="s">
        <v>67</v>
      </c>
      <c r="AH135" s="2" t="s">
        <v>67</v>
      </c>
      <c r="AI135" s="2" t="s">
        <v>67</v>
      </c>
      <c r="AJ135" s="2" t="s">
        <v>67</v>
      </c>
      <c r="AK135" s="2" t="s">
        <v>305</v>
      </c>
      <c r="AL135" s="2" t="s">
        <v>141</v>
      </c>
      <c r="AM135" s="2" t="s">
        <v>73</v>
      </c>
    </row>
    <row r="136" spans="1:39" ht="48" x14ac:dyDescent="0.2">
      <c r="A136" s="1">
        <v>45893.78765046296</v>
      </c>
      <c r="B136" s="1">
        <v>45893.793206018519</v>
      </c>
      <c r="C136" s="2" t="s">
        <v>42</v>
      </c>
      <c r="D136" s="2" t="s">
        <v>1168</v>
      </c>
      <c r="E136">
        <v>100</v>
      </c>
      <c r="F136">
        <v>480</v>
      </c>
      <c r="G136" s="2" t="s">
        <v>68</v>
      </c>
      <c r="H136" s="1">
        <v>45893.793222592591</v>
      </c>
      <c r="I136" s="2" t="s">
        <v>1169</v>
      </c>
      <c r="J136" s="2" t="s">
        <v>67</v>
      </c>
      <c r="K136" s="2" t="s">
        <v>67</v>
      </c>
      <c r="L136" s="2" t="s">
        <v>67</v>
      </c>
      <c r="M136" s="2" t="s">
        <v>67</v>
      </c>
      <c r="N136">
        <v>43.081200000000003</v>
      </c>
      <c r="O136">
        <v>-89.383799999999994</v>
      </c>
      <c r="P136" s="2" t="s">
        <v>78</v>
      </c>
      <c r="Q136" s="2" t="s">
        <v>69</v>
      </c>
      <c r="R136" s="2" t="s">
        <v>1170</v>
      </c>
      <c r="S136" s="2" t="s">
        <v>1171</v>
      </c>
      <c r="T136" s="2" t="s">
        <v>1172</v>
      </c>
      <c r="U136" s="2" t="s">
        <v>125</v>
      </c>
      <c r="V136" s="2" t="s">
        <v>1173</v>
      </c>
      <c r="W136" s="2" t="s">
        <v>1174</v>
      </c>
      <c r="X136" s="2" t="s">
        <v>67</v>
      </c>
      <c r="Y136" s="2" t="s">
        <v>67</v>
      </c>
      <c r="Z136" s="2" t="s">
        <v>67</v>
      </c>
      <c r="AA136" s="2" t="s">
        <v>67</v>
      </c>
      <c r="AB136" s="2" t="s">
        <v>67</v>
      </c>
      <c r="AC136" s="2" t="s">
        <v>67</v>
      </c>
      <c r="AD136" s="2" t="s">
        <v>67</v>
      </c>
      <c r="AE136" s="2" t="s">
        <v>67</v>
      </c>
      <c r="AF136" s="2" t="s">
        <v>67</v>
      </c>
      <c r="AG136" s="2" t="s">
        <v>67</v>
      </c>
      <c r="AH136" s="2" t="s">
        <v>67</v>
      </c>
      <c r="AI136" s="2" t="s">
        <v>67</v>
      </c>
      <c r="AJ136" s="2" t="s">
        <v>67</v>
      </c>
      <c r="AK136" s="2" t="s">
        <v>346</v>
      </c>
      <c r="AL136" s="2" t="s">
        <v>141</v>
      </c>
      <c r="AM136" s="2" t="s">
        <v>73</v>
      </c>
    </row>
    <row r="137" spans="1:39" ht="32" x14ac:dyDescent="0.2">
      <c r="A137" s="1">
        <v>45888.499108796299</v>
      </c>
      <c r="B137" s="1">
        <v>45888.50403935185</v>
      </c>
      <c r="C137" s="2" t="s">
        <v>42</v>
      </c>
      <c r="D137" s="2" t="s">
        <v>1175</v>
      </c>
      <c r="E137">
        <v>42</v>
      </c>
      <c r="F137">
        <v>426</v>
      </c>
      <c r="G137" s="2" t="s">
        <v>80</v>
      </c>
      <c r="H137" s="1">
        <v>45895.504073321761</v>
      </c>
      <c r="I137" s="2" t="s">
        <v>1176</v>
      </c>
      <c r="J137" s="2" t="s">
        <v>67</v>
      </c>
      <c r="K137" s="2" t="s">
        <v>67</v>
      </c>
      <c r="L137" s="2" t="s">
        <v>67</v>
      </c>
      <c r="M137" s="2" t="s">
        <v>67</v>
      </c>
      <c r="N137">
        <v>43.072499999999998</v>
      </c>
      <c r="O137">
        <v>-89.449100000000001</v>
      </c>
      <c r="P137" s="2" t="s">
        <v>78</v>
      </c>
      <c r="Q137" s="2" t="s">
        <v>69</v>
      </c>
      <c r="R137" s="2" t="s">
        <v>1177</v>
      </c>
      <c r="S137" s="2" t="s">
        <v>1177</v>
      </c>
      <c r="T137" s="2" t="s">
        <v>1178</v>
      </c>
      <c r="U137" s="2" t="s">
        <v>67</v>
      </c>
      <c r="V137" s="2" t="s">
        <v>1177</v>
      </c>
      <c r="W137" s="2" t="s">
        <v>633</v>
      </c>
      <c r="X137" s="2" t="s">
        <v>67</v>
      </c>
      <c r="Y137" s="2" t="s">
        <v>67</v>
      </c>
      <c r="Z137" s="2" t="s">
        <v>67</v>
      </c>
      <c r="AA137" s="2" t="s">
        <v>67</v>
      </c>
      <c r="AB137" s="2" t="s">
        <v>67</v>
      </c>
      <c r="AC137" s="2" t="s">
        <v>67</v>
      </c>
      <c r="AD137" s="2" t="s">
        <v>67</v>
      </c>
      <c r="AE137" s="2" t="s">
        <v>67</v>
      </c>
      <c r="AF137" s="2" t="s">
        <v>67</v>
      </c>
      <c r="AG137" s="2" t="s">
        <v>67</v>
      </c>
      <c r="AH137" s="2" t="s">
        <v>67</v>
      </c>
      <c r="AI137" s="2" t="s">
        <v>67</v>
      </c>
      <c r="AJ137" s="2" t="s">
        <v>67</v>
      </c>
      <c r="AK137" s="2" t="s">
        <v>79</v>
      </c>
      <c r="AL137" s="2" t="s">
        <v>141</v>
      </c>
      <c r="AM137" s="2" t="s">
        <v>73</v>
      </c>
    </row>
    <row r="138" spans="1:39" ht="80" x14ac:dyDescent="0.2">
      <c r="A138" s="1">
        <v>45888.563206018516</v>
      </c>
      <c r="B138" s="1">
        <v>45888.600358796299</v>
      </c>
      <c r="C138" s="2" t="s">
        <v>42</v>
      </c>
      <c r="D138" s="2" t="s">
        <v>1179</v>
      </c>
      <c r="E138">
        <v>71</v>
      </c>
      <c r="F138">
        <v>3209</v>
      </c>
      <c r="G138" s="2" t="s">
        <v>80</v>
      </c>
      <c r="H138" s="1">
        <v>45895.600370347223</v>
      </c>
      <c r="I138" s="2" t="s">
        <v>1180</v>
      </c>
      <c r="J138" s="2" t="s">
        <v>67</v>
      </c>
      <c r="K138" s="2" t="s">
        <v>67</v>
      </c>
      <c r="L138" s="2" t="s">
        <v>67</v>
      </c>
      <c r="M138" s="2" t="s">
        <v>67</v>
      </c>
      <c r="N138">
        <v>43.072499999999998</v>
      </c>
      <c r="O138">
        <v>-89.449100000000001</v>
      </c>
      <c r="P138" s="2" t="s">
        <v>78</v>
      </c>
      <c r="Q138" s="2" t="s">
        <v>69</v>
      </c>
      <c r="R138" s="2" t="s">
        <v>1181</v>
      </c>
      <c r="S138" s="2" t="s">
        <v>216</v>
      </c>
      <c r="T138" s="2" t="s">
        <v>1182</v>
      </c>
      <c r="U138" s="2" t="s">
        <v>1070</v>
      </c>
      <c r="V138" s="2" t="s">
        <v>1183</v>
      </c>
      <c r="W138" s="2" t="s">
        <v>1184</v>
      </c>
      <c r="X138" s="2" t="s">
        <v>67</v>
      </c>
      <c r="Y138" s="2" t="s">
        <v>67</v>
      </c>
      <c r="Z138" s="2" t="s">
        <v>74</v>
      </c>
      <c r="AA138" s="2" t="s">
        <v>71</v>
      </c>
      <c r="AB138" s="2" t="s">
        <v>67</v>
      </c>
      <c r="AC138" s="2" t="s">
        <v>67</v>
      </c>
      <c r="AD138" s="2" t="s">
        <v>67</v>
      </c>
      <c r="AE138" s="2" t="s">
        <v>67</v>
      </c>
      <c r="AF138" s="2" t="s">
        <v>67</v>
      </c>
      <c r="AG138" s="2" t="s">
        <v>67</v>
      </c>
      <c r="AH138" s="2" t="s">
        <v>67</v>
      </c>
      <c r="AI138" s="2" t="s">
        <v>67</v>
      </c>
      <c r="AJ138" s="2" t="s">
        <v>67</v>
      </c>
      <c r="AK138" s="2" t="s">
        <v>79</v>
      </c>
      <c r="AL138" s="2" t="s">
        <v>141</v>
      </c>
      <c r="AM138" s="2" t="s">
        <v>73</v>
      </c>
    </row>
    <row r="139" spans="1:39" ht="64" x14ac:dyDescent="0.2">
      <c r="A139" s="1">
        <v>45888.563090277778</v>
      </c>
      <c r="B139" s="1">
        <v>45889.434895833336</v>
      </c>
      <c r="C139" s="2" t="s">
        <v>42</v>
      </c>
      <c r="D139" s="2" t="s">
        <v>956</v>
      </c>
      <c r="E139">
        <v>71</v>
      </c>
      <c r="F139">
        <v>75323</v>
      </c>
      <c r="G139" s="2" t="s">
        <v>80</v>
      </c>
      <c r="H139" s="1">
        <v>45896.434952233794</v>
      </c>
      <c r="I139" s="2" t="s">
        <v>1185</v>
      </c>
      <c r="J139" s="2" t="s">
        <v>67</v>
      </c>
      <c r="K139" s="2" t="s">
        <v>67</v>
      </c>
      <c r="L139" s="2" t="s">
        <v>67</v>
      </c>
      <c r="M139" s="2" t="s">
        <v>67</v>
      </c>
      <c r="N139">
        <v>43.034399999999998</v>
      </c>
      <c r="O139">
        <v>-89.500699999999995</v>
      </c>
      <c r="P139" s="2" t="s">
        <v>78</v>
      </c>
      <c r="Q139" s="2" t="s">
        <v>69</v>
      </c>
      <c r="R139" s="2" t="s">
        <v>778</v>
      </c>
      <c r="S139" s="2" t="s">
        <v>779</v>
      </c>
      <c r="T139" s="2" t="s">
        <v>780</v>
      </c>
      <c r="U139" s="2" t="s">
        <v>67</v>
      </c>
      <c r="V139" s="2" t="s">
        <v>781</v>
      </c>
      <c r="W139" s="2" t="s">
        <v>1186</v>
      </c>
      <c r="X139" s="2" t="s">
        <v>67</v>
      </c>
      <c r="Y139" s="2" t="s">
        <v>67</v>
      </c>
      <c r="Z139" s="2" t="s">
        <v>74</v>
      </c>
      <c r="AA139" s="2" t="s">
        <v>74</v>
      </c>
      <c r="AB139" s="2" t="s">
        <v>67</v>
      </c>
      <c r="AC139" s="2" t="s">
        <v>67</v>
      </c>
      <c r="AD139" s="2" t="s">
        <v>67</v>
      </c>
      <c r="AE139" s="2" t="s">
        <v>67</v>
      </c>
      <c r="AF139" s="2" t="s">
        <v>67</v>
      </c>
      <c r="AG139" s="2" t="s">
        <v>67</v>
      </c>
      <c r="AH139" s="2" t="s">
        <v>67</v>
      </c>
      <c r="AI139" s="2" t="s">
        <v>67</v>
      </c>
      <c r="AJ139" s="2" t="s">
        <v>67</v>
      </c>
      <c r="AK139" s="2" t="s">
        <v>79</v>
      </c>
      <c r="AL139" s="2" t="s">
        <v>141</v>
      </c>
      <c r="AM139" s="2" t="s">
        <v>73</v>
      </c>
    </row>
    <row r="140" spans="1:39" ht="64" x14ac:dyDescent="0.2">
      <c r="A140" s="1">
        <v>45889.444143518522</v>
      </c>
      <c r="B140" s="1">
        <v>45889.447511574072</v>
      </c>
      <c r="C140" s="2" t="s">
        <v>42</v>
      </c>
      <c r="D140" s="2" t="s">
        <v>1187</v>
      </c>
      <c r="E140">
        <v>42</v>
      </c>
      <c r="F140">
        <v>290</v>
      </c>
      <c r="G140" s="2" t="s">
        <v>80</v>
      </c>
      <c r="H140" s="1">
        <v>45896.447522037037</v>
      </c>
      <c r="I140" s="2" t="s">
        <v>1188</v>
      </c>
      <c r="J140" s="2" t="s">
        <v>67</v>
      </c>
      <c r="K140" s="2" t="s">
        <v>67</v>
      </c>
      <c r="L140" s="2" t="s">
        <v>67</v>
      </c>
      <c r="M140" s="2" t="s">
        <v>67</v>
      </c>
      <c r="N140">
        <v>43.072499999999998</v>
      </c>
      <c r="O140">
        <v>-89.449100000000001</v>
      </c>
      <c r="P140" s="2" t="s">
        <v>78</v>
      </c>
      <c r="Q140" s="2" t="s">
        <v>69</v>
      </c>
      <c r="R140" s="2" t="s">
        <v>1189</v>
      </c>
      <c r="S140" s="2" t="s">
        <v>1190</v>
      </c>
      <c r="T140" s="2" t="s">
        <v>1191</v>
      </c>
      <c r="U140" s="2" t="s">
        <v>90</v>
      </c>
      <c r="V140" s="2" t="s">
        <v>126</v>
      </c>
      <c r="W140" s="2" t="s">
        <v>611</v>
      </c>
      <c r="X140" s="2" t="s">
        <v>67</v>
      </c>
      <c r="Y140" s="2" t="s">
        <v>67</v>
      </c>
      <c r="Z140" s="2" t="s">
        <v>67</v>
      </c>
      <c r="AA140" s="2" t="s">
        <v>67</v>
      </c>
      <c r="AB140" s="2" t="s">
        <v>67</v>
      </c>
      <c r="AC140" s="2" t="s">
        <v>67</v>
      </c>
      <c r="AD140" s="2" t="s">
        <v>67</v>
      </c>
      <c r="AE140" s="2" t="s">
        <v>67</v>
      </c>
      <c r="AF140" s="2" t="s">
        <v>67</v>
      </c>
      <c r="AG140" s="2" t="s">
        <v>67</v>
      </c>
      <c r="AH140" s="2" t="s">
        <v>67</v>
      </c>
      <c r="AI140" s="2" t="s">
        <v>67</v>
      </c>
      <c r="AJ140" s="2" t="s">
        <v>67</v>
      </c>
      <c r="AK140" s="2" t="s">
        <v>796</v>
      </c>
      <c r="AL140" s="2" t="s">
        <v>141</v>
      </c>
      <c r="AM140" s="2" t="s">
        <v>73</v>
      </c>
    </row>
    <row r="141" spans="1:39" ht="80" x14ac:dyDescent="0.2">
      <c r="A141" s="1">
        <v>45896.506666666668</v>
      </c>
      <c r="B141" s="1">
        <v>45896.507175925923</v>
      </c>
      <c r="C141" s="2" t="s">
        <v>42</v>
      </c>
      <c r="D141" s="2" t="s">
        <v>1192</v>
      </c>
      <c r="E141">
        <v>100</v>
      </c>
      <c r="F141">
        <v>43</v>
      </c>
      <c r="G141" s="2" t="s">
        <v>68</v>
      </c>
      <c r="H141" s="1">
        <v>45896.507193622689</v>
      </c>
      <c r="I141" s="2" t="s">
        <v>1193</v>
      </c>
      <c r="J141" s="2" t="s">
        <v>67</v>
      </c>
      <c r="K141" s="2" t="s">
        <v>67</v>
      </c>
      <c r="L141" s="2" t="s">
        <v>67</v>
      </c>
      <c r="M141" s="2" t="s">
        <v>67</v>
      </c>
      <c r="N141">
        <v>43.072499999999998</v>
      </c>
      <c r="O141">
        <v>-89.449100000000001</v>
      </c>
      <c r="P141" s="2" t="s">
        <v>78</v>
      </c>
      <c r="Q141" s="2" t="s">
        <v>69</v>
      </c>
      <c r="R141" s="2" t="s">
        <v>1194</v>
      </c>
      <c r="S141" s="2" t="s">
        <v>1195</v>
      </c>
      <c r="T141" s="2" t="s">
        <v>1196</v>
      </c>
      <c r="U141" s="2" t="s">
        <v>556</v>
      </c>
      <c r="V141" s="2" t="s">
        <v>667</v>
      </c>
      <c r="W141" s="2" t="s">
        <v>256</v>
      </c>
      <c r="X141" s="2" t="s">
        <v>67</v>
      </c>
      <c r="Y141" s="2" t="s">
        <v>67</v>
      </c>
      <c r="Z141" s="2" t="s">
        <v>67</v>
      </c>
      <c r="AA141" s="2" t="s">
        <v>67</v>
      </c>
      <c r="AB141" s="2" t="s">
        <v>67</v>
      </c>
      <c r="AC141" s="2" t="s">
        <v>67</v>
      </c>
      <c r="AD141" s="2" t="s">
        <v>67</v>
      </c>
      <c r="AE141" s="2" t="s">
        <v>67</v>
      </c>
      <c r="AF141" s="2" t="s">
        <v>67</v>
      </c>
      <c r="AG141" s="2" t="s">
        <v>67</v>
      </c>
      <c r="AH141" s="2" t="s">
        <v>67</v>
      </c>
      <c r="AI141" s="2" t="s">
        <v>67</v>
      </c>
      <c r="AJ141" s="2" t="s">
        <v>67</v>
      </c>
      <c r="AK141" s="2" t="s">
        <v>1197</v>
      </c>
      <c r="AL141" s="2" t="s">
        <v>141</v>
      </c>
      <c r="AM141" s="2" t="s">
        <v>73</v>
      </c>
    </row>
    <row r="142" spans="1:39" ht="144" x14ac:dyDescent="0.2">
      <c r="A142" s="1">
        <v>45889.707118055558</v>
      </c>
      <c r="B142" s="1">
        <v>45889.708912037036</v>
      </c>
      <c r="C142" s="2" t="s">
        <v>42</v>
      </c>
      <c r="D142" s="2" t="s">
        <v>776</v>
      </c>
      <c r="E142">
        <v>71</v>
      </c>
      <c r="F142">
        <v>154</v>
      </c>
      <c r="G142" s="2" t="s">
        <v>80</v>
      </c>
      <c r="H142" s="1">
        <v>45896.708923506943</v>
      </c>
      <c r="I142" s="2" t="s">
        <v>1198</v>
      </c>
      <c r="J142" s="2" t="s">
        <v>67</v>
      </c>
      <c r="K142" s="2" t="s">
        <v>67</v>
      </c>
      <c r="L142" s="2" t="s">
        <v>67</v>
      </c>
      <c r="M142" s="2" t="s">
        <v>67</v>
      </c>
      <c r="N142">
        <v>43.072499999999998</v>
      </c>
      <c r="O142">
        <v>-89.449100000000001</v>
      </c>
      <c r="P142" s="2" t="s">
        <v>78</v>
      </c>
      <c r="Q142" s="2" t="s">
        <v>69</v>
      </c>
      <c r="R142" s="2" t="s">
        <v>778</v>
      </c>
      <c r="S142" s="2" t="s">
        <v>779</v>
      </c>
      <c r="T142" s="2" t="s">
        <v>780</v>
      </c>
      <c r="U142" s="2" t="s">
        <v>67</v>
      </c>
      <c r="V142" s="2" t="s">
        <v>781</v>
      </c>
      <c r="W142" s="2" t="s">
        <v>1199</v>
      </c>
      <c r="X142" s="2" t="s">
        <v>67</v>
      </c>
      <c r="Y142" s="2" t="s">
        <v>67</v>
      </c>
      <c r="Z142" s="2" t="s">
        <v>74</v>
      </c>
      <c r="AA142" s="2" t="s">
        <v>74</v>
      </c>
      <c r="AB142" s="2" t="s">
        <v>67</v>
      </c>
      <c r="AC142" s="2" t="s">
        <v>67</v>
      </c>
      <c r="AD142" s="2" t="s">
        <v>67</v>
      </c>
      <c r="AE142" s="2" t="s">
        <v>67</v>
      </c>
      <c r="AF142" s="2" t="s">
        <v>67</v>
      </c>
      <c r="AG142" s="2" t="s">
        <v>67</v>
      </c>
      <c r="AH142" s="2" t="s">
        <v>67</v>
      </c>
      <c r="AI142" s="2" t="s">
        <v>67</v>
      </c>
      <c r="AJ142" s="2" t="s">
        <v>67</v>
      </c>
      <c r="AK142" s="2" t="s">
        <v>796</v>
      </c>
      <c r="AL142" s="2" t="s">
        <v>141</v>
      </c>
      <c r="AM142" s="2" t="s">
        <v>73</v>
      </c>
    </row>
    <row r="143" spans="1:39" ht="128" x14ac:dyDescent="0.2">
      <c r="A143" s="1">
        <v>45890.333136574074</v>
      </c>
      <c r="B143" s="1">
        <v>45890.3359837963</v>
      </c>
      <c r="C143" s="2" t="s">
        <v>42</v>
      </c>
      <c r="D143" s="2" t="s">
        <v>1200</v>
      </c>
      <c r="E143">
        <v>71</v>
      </c>
      <c r="F143">
        <v>246</v>
      </c>
      <c r="G143" s="2" t="s">
        <v>80</v>
      </c>
      <c r="H143" s="1">
        <v>45897.336011956017</v>
      </c>
      <c r="I143" s="2" t="s">
        <v>1201</v>
      </c>
      <c r="J143" s="2" t="s">
        <v>67</v>
      </c>
      <c r="K143" s="2" t="s">
        <v>67</v>
      </c>
      <c r="L143" s="2" t="s">
        <v>67</v>
      </c>
      <c r="M143" s="2" t="s">
        <v>67</v>
      </c>
      <c r="N143">
        <v>43.068399999999997</v>
      </c>
      <c r="O143">
        <v>-89.429299999999998</v>
      </c>
      <c r="P143" s="2" t="s">
        <v>78</v>
      </c>
      <c r="Q143" s="2" t="s">
        <v>69</v>
      </c>
      <c r="R143" s="2" t="s">
        <v>1202</v>
      </c>
      <c r="S143" s="2" t="s">
        <v>886</v>
      </c>
      <c r="T143" s="2" t="s">
        <v>887</v>
      </c>
      <c r="U143" s="2" t="s">
        <v>596</v>
      </c>
      <c r="V143" s="2" t="s">
        <v>126</v>
      </c>
      <c r="W143" s="2" t="s">
        <v>888</v>
      </c>
      <c r="X143" s="2" t="s">
        <v>67</v>
      </c>
      <c r="Y143" s="2" t="s">
        <v>67</v>
      </c>
      <c r="Z143" s="2" t="s">
        <v>74</v>
      </c>
      <c r="AA143" s="2" t="s">
        <v>74</v>
      </c>
      <c r="AB143" s="2" t="s">
        <v>67</v>
      </c>
      <c r="AC143" s="2" t="s">
        <v>67</v>
      </c>
      <c r="AD143" s="2" t="s">
        <v>67</v>
      </c>
      <c r="AE143" s="2" t="s">
        <v>67</v>
      </c>
      <c r="AF143" s="2" t="s">
        <v>67</v>
      </c>
      <c r="AG143" s="2" t="s">
        <v>67</v>
      </c>
      <c r="AH143" s="2" t="s">
        <v>67</v>
      </c>
      <c r="AI143" s="2" t="s">
        <v>67</v>
      </c>
      <c r="AJ143" s="2" t="s">
        <v>67</v>
      </c>
      <c r="AK143" s="2" t="s">
        <v>184</v>
      </c>
      <c r="AL143" s="2" t="s">
        <v>141</v>
      </c>
      <c r="AM143" s="2" t="s">
        <v>73</v>
      </c>
    </row>
    <row r="144" spans="1:39" ht="64" x14ac:dyDescent="0.2">
      <c r="A144" s="1">
        <v>45890.361238425925</v>
      </c>
      <c r="B144" s="1">
        <v>45890.361805555556</v>
      </c>
      <c r="C144" s="2" t="s">
        <v>42</v>
      </c>
      <c r="D144" s="2" t="s">
        <v>874</v>
      </c>
      <c r="E144">
        <v>71</v>
      </c>
      <c r="F144">
        <v>49</v>
      </c>
      <c r="G144" s="2" t="s">
        <v>80</v>
      </c>
      <c r="H144" s="1">
        <v>45897.361850567133</v>
      </c>
      <c r="I144" s="2" t="s">
        <v>1203</v>
      </c>
      <c r="J144" s="2" t="s">
        <v>67</v>
      </c>
      <c r="K144" s="2" t="s">
        <v>67</v>
      </c>
      <c r="L144" s="2" t="s">
        <v>67</v>
      </c>
      <c r="M144" s="2" t="s">
        <v>67</v>
      </c>
      <c r="N144">
        <v>43.072499999999998</v>
      </c>
      <c r="O144">
        <v>-89.449100000000001</v>
      </c>
      <c r="P144" s="2" t="s">
        <v>78</v>
      </c>
      <c r="Q144" s="2" t="s">
        <v>69</v>
      </c>
      <c r="R144" s="2" t="s">
        <v>1204</v>
      </c>
      <c r="S144" s="2" t="s">
        <v>877</v>
      </c>
      <c r="T144" s="2" t="s">
        <v>878</v>
      </c>
      <c r="U144" s="2" t="s">
        <v>160</v>
      </c>
      <c r="V144" s="2" t="s">
        <v>879</v>
      </c>
      <c r="W144" s="2" t="s">
        <v>676</v>
      </c>
      <c r="X144" s="2" t="s">
        <v>67</v>
      </c>
      <c r="Y144" s="2" t="s">
        <v>67</v>
      </c>
      <c r="Z144" s="2" t="s">
        <v>74</v>
      </c>
      <c r="AA144" s="2" t="s">
        <v>71</v>
      </c>
      <c r="AB144" s="2" t="s">
        <v>67</v>
      </c>
      <c r="AC144" s="2" t="s">
        <v>67</v>
      </c>
      <c r="AD144" s="2" t="s">
        <v>67</v>
      </c>
      <c r="AE144" s="2" t="s">
        <v>67</v>
      </c>
      <c r="AF144" s="2" t="s">
        <v>67</v>
      </c>
      <c r="AG144" s="2" t="s">
        <v>67</v>
      </c>
      <c r="AH144" s="2" t="s">
        <v>67</v>
      </c>
      <c r="AI144" s="2" t="s">
        <v>67</v>
      </c>
      <c r="AJ144" s="2" t="s">
        <v>67</v>
      </c>
      <c r="AK144" s="2" t="s">
        <v>184</v>
      </c>
      <c r="AL144" s="2" t="s">
        <v>141</v>
      </c>
      <c r="AM144" s="2" t="s">
        <v>73</v>
      </c>
    </row>
    <row r="145" spans="1:39" ht="409.6" x14ac:dyDescent="0.2">
      <c r="A145" s="1">
        <v>45890.635636574072</v>
      </c>
      <c r="B145" s="1">
        <v>45890.647314814814</v>
      </c>
      <c r="C145" s="2" t="s">
        <v>42</v>
      </c>
      <c r="D145" s="2" t="s">
        <v>986</v>
      </c>
      <c r="E145">
        <v>88</v>
      </c>
      <c r="F145">
        <v>1008</v>
      </c>
      <c r="G145" s="2" t="s">
        <v>80</v>
      </c>
      <c r="H145" s="1">
        <v>45897.647340034724</v>
      </c>
      <c r="I145" s="2" t="s">
        <v>1205</v>
      </c>
      <c r="J145" s="2" t="s">
        <v>67</v>
      </c>
      <c r="K145" s="2" t="s">
        <v>67</v>
      </c>
      <c r="L145" s="2" t="s">
        <v>67</v>
      </c>
      <c r="M145" s="2" t="s">
        <v>67</v>
      </c>
      <c r="N145">
        <v>43.072499999999998</v>
      </c>
      <c r="O145">
        <v>-89.449100000000001</v>
      </c>
      <c r="P145" s="2" t="s">
        <v>78</v>
      </c>
      <c r="Q145" s="2" t="s">
        <v>69</v>
      </c>
      <c r="R145" s="2" t="s">
        <v>988</v>
      </c>
      <c r="S145" s="2" t="s">
        <v>989</v>
      </c>
      <c r="T145" s="2" t="s">
        <v>990</v>
      </c>
      <c r="U145" s="2" t="s">
        <v>67</v>
      </c>
      <c r="V145" s="2" t="s">
        <v>82</v>
      </c>
      <c r="W145" s="2" t="s">
        <v>991</v>
      </c>
      <c r="X145" s="2" t="s">
        <v>67</v>
      </c>
      <c r="Y145" s="2" t="s">
        <v>67</v>
      </c>
      <c r="Z145" s="2" t="s">
        <v>74</v>
      </c>
      <c r="AA145" s="2" t="s">
        <v>74</v>
      </c>
      <c r="AB145" s="2" t="s">
        <v>67</v>
      </c>
      <c r="AC145" s="2" t="s">
        <v>67</v>
      </c>
      <c r="AD145" s="2" t="s">
        <v>67</v>
      </c>
      <c r="AE145" s="2" t="s">
        <v>992</v>
      </c>
      <c r="AF145" s="2" t="s">
        <v>993</v>
      </c>
      <c r="AG145" s="2" t="s">
        <v>994</v>
      </c>
      <c r="AH145" s="2" t="s">
        <v>67</v>
      </c>
      <c r="AI145" s="2" t="s">
        <v>67</v>
      </c>
      <c r="AJ145" s="2" t="s">
        <v>67</v>
      </c>
      <c r="AK145" s="2" t="s">
        <v>184</v>
      </c>
      <c r="AL145" s="2" t="s">
        <v>141</v>
      </c>
      <c r="AM145" s="2" t="s">
        <v>73</v>
      </c>
    </row>
    <row r="146" spans="1:39" ht="48" x14ac:dyDescent="0.2">
      <c r="A146" s="1">
        <v>45890.592407407406</v>
      </c>
      <c r="B146" s="1">
        <v>45890.652870370373</v>
      </c>
      <c r="C146" s="2" t="s">
        <v>42</v>
      </c>
      <c r="D146" s="2" t="s">
        <v>964</v>
      </c>
      <c r="E146">
        <v>71</v>
      </c>
      <c r="F146">
        <v>5223</v>
      </c>
      <c r="G146" s="2" t="s">
        <v>80</v>
      </c>
      <c r="H146" s="1">
        <v>45897.65289853009</v>
      </c>
      <c r="I146" s="2" t="s">
        <v>1206</v>
      </c>
      <c r="J146" s="2" t="s">
        <v>67</v>
      </c>
      <c r="K146" s="2" t="s">
        <v>67</v>
      </c>
      <c r="L146" s="2" t="s">
        <v>67</v>
      </c>
      <c r="M146" s="2" t="s">
        <v>67</v>
      </c>
      <c r="N146">
        <v>43.072499999999998</v>
      </c>
      <c r="O146">
        <v>-89.449100000000001</v>
      </c>
      <c r="P146" s="2" t="s">
        <v>78</v>
      </c>
      <c r="Q146" s="2" t="s">
        <v>69</v>
      </c>
      <c r="R146" s="2" t="s">
        <v>1207</v>
      </c>
      <c r="S146" s="2" t="s">
        <v>1208</v>
      </c>
      <c r="T146" s="2" t="s">
        <v>1209</v>
      </c>
      <c r="U146" s="2" t="s">
        <v>90</v>
      </c>
      <c r="V146" s="2" t="s">
        <v>1210</v>
      </c>
      <c r="W146" s="2" t="s">
        <v>1211</v>
      </c>
      <c r="X146" s="2" t="s">
        <v>67</v>
      </c>
      <c r="Y146" s="2" t="s">
        <v>67</v>
      </c>
      <c r="Z146" s="2" t="s">
        <v>74</v>
      </c>
      <c r="AA146" s="2" t="s">
        <v>71</v>
      </c>
      <c r="AB146" s="2" t="s">
        <v>67</v>
      </c>
      <c r="AC146" s="2" t="s">
        <v>67</v>
      </c>
      <c r="AD146" s="2" t="s">
        <v>67</v>
      </c>
      <c r="AE146" s="2" t="s">
        <v>67</v>
      </c>
      <c r="AF146" s="2" t="s">
        <v>67</v>
      </c>
      <c r="AG146" s="2" t="s">
        <v>67</v>
      </c>
      <c r="AH146" s="2" t="s">
        <v>67</v>
      </c>
      <c r="AI146" s="2" t="s">
        <v>67</v>
      </c>
      <c r="AJ146" s="2" t="s">
        <v>67</v>
      </c>
      <c r="AK146" s="2" t="s">
        <v>184</v>
      </c>
      <c r="AL146" s="2" t="s">
        <v>141</v>
      </c>
      <c r="AM146" s="2" t="s">
        <v>73</v>
      </c>
    </row>
    <row r="147" spans="1:39" ht="64" x14ac:dyDescent="0.2">
      <c r="A147" s="1">
        <v>45891.372465277775</v>
      </c>
      <c r="B147" s="1">
        <v>45891.375509259262</v>
      </c>
      <c r="C147" s="2" t="s">
        <v>42</v>
      </c>
      <c r="D147" s="2" t="s">
        <v>338</v>
      </c>
      <c r="E147">
        <v>71</v>
      </c>
      <c r="F147">
        <v>262</v>
      </c>
      <c r="G147" s="2" t="s">
        <v>80</v>
      </c>
      <c r="H147" s="1">
        <v>45898.375522256945</v>
      </c>
      <c r="I147" s="2" t="s">
        <v>1212</v>
      </c>
      <c r="J147" s="2" t="s">
        <v>67</v>
      </c>
      <c r="K147" s="2" t="s">
        <v>67</v>
      </c>
      <c r="L147" s="2" t="s">
        <v>67</v>
      </c>
      <c r="M147" s="2" t="s">
        <v>67</v>
      </c>
      <c r="N147">
        <v>43.072499999999998</v>
      </c>
      <c r="O147">
        <v>-89.449100000000001</v>
      </c>
      <c r="P147" s="2" t="s">
        <v>78</v>
      </c>
      <c r="Q147" s="2" t="s">
        <v>69</v>
      </c>
      <c r="R147" s="2" t="s">
        <v>340</v>
      </c>
      <c r="S147" s="2" t="s">
        <v>341</v>
      </c>
      <c r="T147" s="2" t="s">
        <v>342</v>
      </c>
      <c r="U147" s="2" t="s">
        <v>596</v>
      </c>
      <c r="V147" s="2" t="s">
        <v>126</v>
      </c>
      <c r="W147" s="2" t="s">
        <v>356</v>
      </c>
      <c r="X147" s="2" t="s">
        <v>67</v>
      </c>
      <c r="Y147" s="2" t="s">
        <v>67</v>
      </c>
      <c r="Z147" s="2" t="s">
        <v>74</v>
      </c>
      <c r="AA147" s="2" t="s">
        <v>71</v>
      </c>
      <c r="AB147" s="2" t="s">
        <v>67</v>
      </c>
      <c r="AC147" s="2" t="s">
        <v>67</v>
      </c>
      <c r="AD147" s="2" t="s">
        <v>67</v>
      </c>
      <c r="AE147" s="2" t="s">
        <v>67</v>
      </c>
      <c r="AF147" s="2" t="s">
        <v>67</v>
      </c>
      <c r="AG147" s="2" t="s">
        <v>67</v>
      </c>
      <c r="AH147" s="2" t="s">
        <v>67</v>
      </c>
      <c r="AI147" s="2" t="s">
        <v>67</v>
      </c>
      <c r="AJ147" s="2" t="s">
        <v>67</v>
      </c>
      <c r="AK147" s="2" t="s">
        <v>242</v>
      </c>
      <c r="AL147" s="2" t="s">
        <v>141</v>
      </c>
      <c r="AM147" s="2" t="s">
        <v>73</v>
      </c>
    </row>
    <row r="148" spans="1:39" ht="144" x14ac:dyDescent="0.2">
      <c r="A148" s="1">
        <v>45891.501076388886</v>
      </c>
      <c r="B148" s="1">
        <v>45891.50209490741</v>
      </c>
      <c r="C148" s="2" t="s">
        <v>42</v>
      </c>
      <c r="D148" s="2" t="s">
        <v>1213</v>
      </c>
      <c r="E148">
        <v>71</v>
      </c>
      <c r="F148">
        <v>87</v>
      </c>
      <c r="G148" s="2" t="s">
        <v>80</v>
      </c>
      <c r="H148" s="1">
        <v>45898.502158877316</v>
      </c>
      <c r="I148" s="2" t="s">
        <v>1214</v>
      </c>
      <c r="J148" s="2" t="s">
        <v>67</v>
      </c>
      <c r="K148" s="2" t="s">
        <v>67</v>
      </c>
      <c r="L148" s="2" t="s">
        <v>67</v>
      </c>
      <c r="M148" s="2" t="s">
        <v>67</v>
      </c>
      <c r="N148">
        <v>43.072499999999998</v>
      </c>
      <c r="O148">
        <v>-89.449100000000001</v>
      </c>
      <c r="P148" s="2" t="s">
        <v>78</v>
      </c>
      <c r="Q148" s="2" t="s">
        <v>69</v>
      </c>
      <c r="R148" s="2" t="s">
        <v>902</v>
      </c>
      <c r="S148" s="2" t="s">
        <v>1110</v>
      </c>
      <c r="T148" s="2" t="s">
        <v>1111</v>
      </c>
      <c r="U148" s="2" t="s">
        <v>1112</v>
      </c>
      <c r="V148" s="2" t="s">
        <v>1215</v>
      </c>
      <c r="W148" s="2" t="s">
        <v>1216</v>
      </c>
      <c r="X148" s="2" t="s">
        <v>67</v>
      </c>
      <c r="Y148" s="2" t="s">
        <v>67</v>
      </c>
      <c r="Z148" s="2" t="s">
        <v>74</v>
      </c>
      <c r="AA148" s="2" t="s">
        <v>71</v>
      </c>
      <c r="AB148" s="2" t="s">
        <v>67</v>
      </c>
      <c r="AC148" s="2" t="s">
        <v>67</v>
      </c>
      <c r="AD148" s="2" t="s">
        <v>67</v>
      </c>
      <c r="AE148" s="2" t="s">
        <v>67</v>
      </c>
      <c r="AF148" s="2" t="s">
        <v>67</v>
      </c>
      <c r="AG148" s="2" t="s">
        <v>67</v>
      </c>
      <c r="AH148" s="2" t="s">
        <v>67</v>
      </c>
      <c r="AI148" s="2" t="s">
        <v>67</v>
      </c>
      <c r="AJ148" s="2" t="s">
        <v>67</v>
      </c>
      <c r="AK148" s="2" t="s">
        <v>242</v>
      </c>
      <c r="AL148" s="2" t="s">
        <v>141</v>
      </c>
      <c r="AM148" s="2" t="s">
        <v>73</v>
      </c>
    </row>
    <row r="149" spans="1:39" ht="48" x14ac:dyDescent="0.2">
      <c r="A149" s="1">
        <v>45889.41547453704</v>
      </c>
      <c r="B149" s="1">
        <v>45894.469097222223</v>
      </c>
      <c r="C149" s="2" t="s">
        <v>42</v>
      </c>
      <c r="D149" s="2" t="s">
        <v>1217</v>
      </c>
      <c r="E149">
        <v>71</v>
      </c>
      <c r="F149">
        <v>436632</v>
      </c>
      <c r="G149" s="2" t="s">
        <v>80</v>
      </c>
      <c r="H149" s="1">
        <v>45901.469145555558</v>
      </c>
      <c r="I149" s="2" t="s">
        <v>1218</v>
      </c>
      <c r="J149" s="2" t="s">
        <v>67</v>
      </c>
      <c r="K149" s="2" t="s">
        <v>67</v>
      </c>
      <c r="L149" s="2" t="s">
        <v>67</v>
      </c>
      <c r="M149" s="2" t="s">
        <v>67</v>
      </c>
      <c r="N149">
        <v>43.072499999999998</v>
      </c>
      <c r="O149">
        <v>-89.449100000000001</v>
      </c>
      <c r="P149" s="2" t="s">
        <v>78</v>
      </c>
      <c r="Q149" s="2" t="s">
        <v>69</v>
      </c>
      <c r="R149" s="2" t="s">
        <v>1219</v>
      </c>
      <c r="S149" s="2" t="s">
        <v>1220</v>
      </c>
      <c r="T149" s="2" t="s">
        <v>1221</v>
      </c>
      <c r="U149" s="2" t="s">
        <v>160</v>
      </c>
      <c r="V149" s="2" t="s">
        <v>82</v>
      </c>
      <c r="W149" s="2" t="s">
        <v>1222</v>
      </c>
      <c r="X149" s="2" t="s">
        <v>67</v>
      </c>
      <c r="Y149" s="2" t="s">
        <v>67</v>
      </c>
      <c r="Z149" s="2" t="s">
        <v>74</v>
      </c>
      <c r="AA149" s="2" t="s">
        <v>71</v>
      </c>
      <c r="AB149" s="2" t="s">
        <v>67</v>
      </c>
      <c r="AC149" s="2" t="s">
        <v>67</v>
      </c>
      <c r="AD149" s="2" t="s">
        <v>67</v>
      </c>
      <c r="AE149" s="2" t="s">
        <v>67</v>
      </c>
      <c r="AF149" s="2" t="s">
        <v>67</v>
      </c>
      <c r="AG149" s="2" t="s">
        <v>67</v>
      </c>
      <c r="AH149" s="2" t="s">
        <v>67</v>
      </c>
      <c r="AI149" s="2" t="s">
        <v>67</v>
      </c>
      <c r="AJ149" s="2" t="s">
        <v>67</v>
      </c>
      <c r="AK149" s="2" t="s">
        <v>796</v>
      </c>
      <c r="AL149" s="2" t="s">
        <v>141</v>
      </c>
      <c r="AM149" s="2" t="s">
        <v>73</v>
      </c>
    </row>
    <row r="150" spans="1:39" ht="64" x14ac:dyDescent="0.2">
      <c r="A150" s="1">
        <v>45907.923067129632</v>
      </c>
      <c r="B150" s="1">
        <v>45907.923634259256</v>
      </c>
      <c r="C150" s="2" t="s">
        <v>42</v>
      </c>
      <c r="D150" s="2" t="s">
        <v>1223</v>
      </c>
      <c r="E150">
        <v>100</v>
      </c>
      <c r="F150">
        <v>49</v>
      </c>
      <c r="G150" s="2" t="s">
        <v>68</v>
      </c>
      <c r="H150" s="1">
        <v>45907.923646284726</v>
      </c>
      <c r="I150" s="2" t="s">
        <v>1224</v>
      </c>
      <c r="J150" s="2" t="s">
        <v>67</v>
      </c>
      <c r="K150" s="2" t="s">
        <v>67</v>
      </c>
      <c r="L150" s="2" t="s">
        <v>67</v>
      </c>
      <c r="M150" s="2" t="s">
        <v>67</v>
      </c>
      <c r="N150">
        <v>39.845100000000002</v>
      </c>
      <c r="O150">
        <v>-86.190600000000003</v>
      </c>
      <c r="P150" s="2" t="s">
        <v>78</v>
      </c>
      <c r="Q150" s="2" t="s">
        <v>69</v>
      </c>
      <c r="R150" s="2" t="s">
        <v>627</v>
      </c>
      <c r="S150" s="2" t="s">
        <v>1225</v>
      </c>
      <c r="T150" s="2" t="s">
        <v>1226</v>
      </c>
      <c r="U150" s="2" t="s">
        <v>67</v>
      </c>
      <c r="V150" s="2" t="s">
        <v>1227</v>
      </c>
      <c r="W150" s="2" t="s">
        <v>1228</v>
      </c>
      <c r="X150" s="2" t="s">
        <v>67</v>
      </c>
      <c r="Y150" s="2" t="s">
        <v>67</v>
      </c>
      <c r="Z150" s="2" t="s">
        <v>67</v>
      </c>
      <c r="AA150" s="2" t="s">
        <v>67</v>
      </c>
      <c r="AB150" s="2" t="s">
        <v>67</v>
      </c>
      <c r="AC150" s="2" t="s">
        <v>67</v>
      </c>
      <c r="AD150" s="2" t="s">
        <v>67</v>
      </c>
      <c r="AE150" s="2" t="s">
        <v>67</v>
      </c>
      <c r="AF150" s="2" t="s">
        <v>67</v>
      </c>
      <c r="AG150" s="2" t="s">
        <v>67</v>
      </c>
      <c r="AH150" s="2" t="s">
        <v>67</v>
      </c>
      <c r="AI150" s="2" t="s">
        <v>67</v>
      </c>
      <c r="AJ150" s="2" t="s">
        <v>67</v>
      </c>
      <c r="AK150" s="2" t="s">
        <v>142</v>
      </c>
      <c r="AL150" s="2" t="s">
        <v>1229</v>
      </c>
      <c r="AM150" s="2" t="s">
        <v>73</v>
      </c>
    </row>
  </sheetData>
  <autoFilter ref="A2:AM151"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Art Exhibition (filtered)</vt:lpstr>
      <vt:lpstr>Art Exhibition (all)</vt:lpstr>
      <vt:lpstr>Sheet0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Freya Joessel</cp:lastModifiedBy>
  <dcterms:created xsi:type="dcterms:W3CDTF">2025-09-08T20:29:30Z</dcterms:created>
  <dcterms:modified xsi:type="dcterms:W3CDTF">2025-09-08T21:50:41Z</dcterms:modified>
</cp:coreProperties>
</file>